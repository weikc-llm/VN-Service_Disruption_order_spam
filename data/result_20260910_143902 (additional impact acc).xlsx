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i.kc\Desktop\Adhoc\03 Sept 2026\data\"/>
    </mc:Choice>
  </mc:AlternateContent>
  <xr:revisionPtr revIDLastSave="0" documentId="13_ncr:1_{ABBE89AE-A81D-468D-8F90-F8A1B54AD4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 expor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I3" i="1"/>
  <c r="H4" i="1"/>
  <c r="I4" i="1"/>
  <c r="H5" i="1"/>
  <c r="I5" i="1"/>
  <c r="H6" i="1"/>
  <c r="I6" i="1"/>
  <c r="H7" i="1"/>
  <c r="I7" i="1"/>
  <c r="H8" i="1"/>
  <c r="I8" i="1"/>
  <c r="H9" i="1"/>
  <c r="I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H21" i="1"/>
  <c r="I21" i="1"/>
  <c r="H22" i="1"/>
  <c r="I22" i="1"/>
  <c r="H23" i="1"/>
  <c r="I23" i="1"/>
  <c r="H24" i="1"/>
  <c r="I24" i="1"/>
  <c r="H25" i="1"/>
  <c r="I25" i="1"/>
  <c r="H26" i="1"/>
  <c r="I26" i="1"/>
  <c r="H27" i="1"/>
  <c r="I27" i="1"/>
  <c r="H28" i="1"/>
  <c r="I28" i="1"/>
  <c r="H29" i="1"/>
  <c r="I29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H39" i="1"/>
  <c r="I39" i="1"/>
  <c r="H40" i="1"/>
  <c r="I40" i="1"/>
  <c r="H41" i="1"/>
  <c r="I41" i="1"/>
  <c r="H42" i="1"/>
  <c r="I42" i="1"/>
  <c r="H43" i="1"/>
  <c r="I43" i="1"/>
  <c r="I2" i="1"/>
  <c r="H2" i="1"/>
</calcChain>
</file>

<file path=xl/sharedStrings.xml><?xml version="1.0" encoding="utf-8"?>
<sst xmlns="http://schemas.openxmlformats.org/spreadsheetml/2006/main" count="303" uniqueCount="152">
  <si>
    <t>user_id</t>
  </si>
  <si>
    <t>register_time</t>
  </si>
  <si>
    <t>phone_no</t>
  </si>
  <si>
    <t>email</t>
  </si>
  <si>
    <t>last_name</t>
  </si>
  <si>
    <t>first_name</t>
  </si>
  <si>
    <t>ban_status</t>
  </si>
  <si>
    <t>43539274</t>
  </si>
  <si>
    <t>2026-08-12 07:57:04.0</t>
  </si>
  <si>
    <t>AES_6wm088FeZHJTje9Qw506cg==</t>
  </si>
  <si>
    <t>NULL</t>
  </si>
  <si>
    <t/>
  </si>
  <si>
    <t>BANNED</t>
  </si>
  <si>
    <t>42426592</t>
  </si>
  <si>
    <t>2026-07-02 16:16:02.0</t>
  </si>
  <si>
    <t>AES_9qy3Knok8VRkwsPWT8RuMA==</t>
  </si>
  <si>
    <t>chị huỳnh phượng</t>
  </si>
  <si>
    <t>43978801</t>
  </si>
  <si>
    <t>2026-08-28 08:03:16.0</t>
  </si>
  <si>
    <t>AES_V9Nszlpek7eZFbKQSD8L4A==</t>
  </si>
  <si>
    <t>44010401</t>
  </si>
  <si>
    <t>2026-08-29 07:56:18.0</t>
  </si>
  <si>
    <t>AES_qO1z1D0IIMRThvygP8ALJw==</t>
  </si>
  <si>
    <t>43862968</t>
  </si>
  <si>
    <t>2026-08-24 07:57:18.0</t>
  </si>
  <si>
    <t>AES_QBGfHD1Mq+GHudZ4PIJHng==</t>
  </si>
  <si>
    <t>43891958</t>
  </si>
  <si>
    <t>2026-08-25 07:49:19.0</t>
  </si>
  <si>
    <t>AES_d6Htx+bsrMPCu2a8euv8Tw==</t>
  </si>
  <si>
    <t>43230061</t>
  </si>
  <si>
    <t>2026-08-01 07:41:27.0</t>
  </si>
  <si>
    <t>AES_KGz0t+SEqcsAO/eZIrSeWw==</t>
  </si>
  <si>
    <t>43081554</t>
  </si>
  <si>
    <t>2026-07-27 07:36:10.0</t>
  </si>
  <si>
    <t>AES_vbdAOpWBryV2UrA4oLZqGQ==</t>
  </si>
  <si>
    <t>chị bé mơ</t>
  </si>
  <si>
    <t>42372845</t>
  </si>
  <si>
    <t>2026-06-30 19:29:18.0</t>
  </si>
  <si>
    <t>AES_kNcYCWxL6DehaJdm7ty82Q==</t>
  </si>
  <si>
    <t>NOT BAN</t>
  </si>
  <si>
    <t>42463063</t>
  </si>
  <si>
    <t>2026-07-03 21:20:16.0</t>
  </si>
  <si>
    <t>AES_zrXY1FA42cRHTn/kJbfvwg==</t>
  </si>
  <si>
    <t>Km thoa</t>
  </si>
  <si>
    <t>43022614</t>
  </si>
  <si>
    <t>2026-07-24 22:52:54.0</t>
  </si>
  <si>
    <t>AES_AmkXycCSH7Dygu0G1ptLag==</t>
  </si>
  <si>
    <t>Cô Thủy</t>
  </si>
  <si>
    <t>43920615</t>
  </si>
  <si>
    <t>2026-08-26 07:55:09.0</t>
  </si>
  <si>
    <t>AES_3uvHed5SvOJh5MFk31f5kw==</t>
  </si>
  <si>
    <t>42705635</t>
  </si>
  <si>
    <t>2026-07-12 22:32:54.0</t>
  </si>
  <si>
    <t>AES_YkcfpFWpMpR2gavyYoF1Wg==</t>
  </si>
  <si>
    <t>42406507</t>
  </si>
  <si>
    <t>2026-07-01 21:33:50.0</t>
  </si>
  <si>
    <t>AES_bii7q6jBXRJKpm4q3679bQ==</t>
  </si>
  <si>
    <t>42381392</t>
  </si>
  <si>
    <t>2026-07-01 07:17:48.0</t>
  </si>
  <si>
    <t>AES_hlUtpaBrAXDuINgpK/CX2w==</t>
  </si>
  <si>
    <t>43346700</t>
  </si>
  <si>
    <t>2026-08-05 07:46:43.0</t>
  </si>
  <si>
    <t>AES_uceo0Ag7bK/upmFvU1T+Gg==</t>
  </si>
  <si>
    <t>43319297</t>
  </si>
  <si>
    <t>2026-08-04 07:58:45.0</t>
  </si>
  <si>
    <t>AES_b/OY3o8d0+wwhblveg7yhQ==</t>
  </si>
  <si>
    <t>43949404</t>
  </si>
  <si>
    <t>2026-08-27 08:06:46.0</t>
  </si>
  <si>
    <t>AES_/mQ/TFO2M+6bTKn/Me6bTw==</t>
  </si>
  <si>
    <t>42426641</t>
  </si>
  <si>
    <t>2026-07-02 16:17:46.0</t>
  </si>
  <si>
    <t>AES_fdFXPX49u72ScT1E4yDOxg==</t>
  </si>
  <si>
    <t>42459099</t>
  </si>
  <si>
    <t>2026-07-03 18:46:28.0</t>
  </si>
  <si>
    <t>AES_XI7Iu5PHayhNe1ZcsnhnGA==</t>
  </si>
  <si>
    <t>43110506</t>
  </si>
  <si>
    <t>2026-07-28 08:15:00.0</t>
  </si>
  <si>
    <t>AES_/Dh347PxzYGcOfajqV9xCw==</t>
  </si>
  <si>
    <t>43402439</t>
  </si>
  <si>
    <t>2026-08-07 07:56:59.0</t>
  </si>
  <si>
    <t>AES_jbpJg2SeTmu7V52Ywl2IXw==</t>
  </si>
  <si>
    <t>42731028</t>
  </si>
  <si>
    <t>2026-07-13 21:05:53.0</t>
  </si>
  <si>
    <t>AES_qEYMqkQW6+06FuuKxJpAog==</t>
  </si>
  <si>
    <t>tuyết trinh</t>
  </si>
  <si>
    <t>43290314</t>
  </si>
  <si>
    <t>2026-08-03 07:39:58.0</t>
  </si>
  <si>
    <t>AES_88vVBRyhNku9wd9kBrbLXg==</t>
  </si>
  <si>
    <t>CÁ TRA</t>
  </si>
  <si>
    <t>43138108</t>
  </si>
  <si>
    <t>2026-07-29 07:40:25.0</t>
  </si>
  <si>
    <t>AES_xP206czTEGQMA6j2QriOBg==</t>
  </si>
  <si>
    <t>42997602</t>
  </si>
  <si>
    <t>2026-07-24 07:27:12.0</t>
  </si>
  <si>
    <t>AES_1zlA07g9h5cndiptu6K33w==</t>
  </si>
  <si>
    <t>chị hồng nhung</t>
  </si>
  <si>
    <t>42463024</t>
  </si>
  <si>
    <t>2026-07-03 21:18:02.0</t>
  </si>
  <si>
    <t>AES_XmDBUsOCL1pAUxhIqXwxLw==</t>
  </si>
  <si>
    <t>Madam huỳnh</t>
  </si>
  <si>
    <t>42458992</t>
  </si>
  <si>
    <t>2026-07-03 18:42:45.0</t>
  </si>
  <si>
    <t>AES_Jh4z6GdxEkojBnwiqouPFg==</t>
  </si>
  <si>
    <t>42971568</t>
  </si>
  <si>
    <t>2026-07-23 08:26:44.0</t>
  </si>
  <si>
    <t>AES_edWdwvSz+4t++kkKh3oUPA==</t>
  </si>
  <si>
    <t>43374604</t>
  </si>
  <si>
    <t>2026-08-06 08:08:48.0</t>
  </si>
  <si>
    <t>AES_qeLpguTNlwfH/sa9Dcmzvw==</t>
  </si>
  <si>
    <t>42459241</t>
  </si>
  <si>
    <t>2026-07-03 18:51:27.0</t>
  </si>
  <si>
    <t>AES_Jp3M8RFQvaCyLox9HaDMYg==</t>
  </si>
  <si>
    <t>42459298</t>
  </si>
  <si>
    <t>2026-07-03 18:53:21.0</t>
  </si>
  <si>
    <t>AES_7AH2qePX49gZPZ/Pp/xUmQ==</t>
  </si>
  <si>
    <t>43566043</t>
  </si>
  <si>
    <t>2026-08-13 07:53:58.0</t>
  </si>
  <si>
    <t>AES_baclLH6NUb0XWRpXhlwDDg==</t>
  </si>
  <si>
    <t>43674483</t>
  </si>
  <si>
    <t>2026-08-17 07:51:55.0</t>
  </si>
  <si>
    <t>AES_IFOFfQFBWkf/WM4YUrvqrw==</t>
  </si>
  <si>
    <t>42913719</t>
  </si>
  <si>
    <t>2026-07-20 21:35:30.0</t>
  </si>
  <si>
    <t>AES_Kz31jZqpDu/4QJm06T8Ddw==</t>
  </si>
  <si>
    <t>huỳnh phượng</t>
  </si>
  <si>
    <t>42459041</t>
  </si>
  <si>
    <t>2026-07-03 18:44:44.0</t>
  </si>
  <si>
    <t>AES_lfsRodSaGWaXaoGDNVNrRA==</t>
  </si>
  <si>
    <t>8200826</t>
  </si>
  <si>
    <t>2020-04-30 15:05:10.0</t>
  </si>
  <si>
    <t>AES_DqKAiwkGfv8opG24IVeCuA==</t>
  </si>
  <si>
    <t>AES_DWRWcCotVf0lv/X2b3GSqbNV2XTl7G3vS91UHH/mnPw=</t>
  </si>
  <si>
    <t>Đại</t>
  </si>
  <si>
    <t>Huy</t>
  </si>
  <si>
    <t>32318884</t>
  </si>
  <si>
    <t>2025-05-05 15:07:54.0</t>
  </si>
  <si>
    <t>AES_UAflFrSEZI4bsoW3F0zlVg==</t>
  </si>
  <si>
    <t>AES_y4lvkTuvdbB1ew1dU9WuaAGhKskvpnm4525/gBtMzF4=</t>
  </si>
  <si>
    <t>43593087</t>
  </si>
  <si>
    <t>2026-08-14 08:04:09.0</t>
  </si>
  <si>
    <t>AES_9bHwU/QcHt8Av4cgrNnVYQ==</t>
  </si>
  <si>
    <t>43430885</t>
  </si>
  <si>
    <t>2026-08-08 08:01:26.0</t>
  </si>
  <si>
    <t>AES_aWl+yiaWzokUAgHs3pMYyA==</t>
  </si>
  <si>
    <t>43614456</t>
  </si>
  <si>
    <t>2026-08-14 20:26:21.0</t>
  </si>
  <si>
    <t>AES_XN/zptdDXSG6W/IdGBF1Gw==</t>
  </si>
  <si>
    <t>43166702</t>
  </si>
  <si>
    <t>2026-07-30 07:06:14.0</t>
  </si>
  <si>
    <t>AES_UvWPnIdAILdc9irpEafl9A==</t>
  </si>
  <si>
    <t>ban_reason</t>
  </si>
  <si>
    <t>ban_date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</si>
</sst>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ei.kc\Desktop\Adhoc\03%20Sept%202026\data\user_ban_info\result_20260924_105553(41%20simulated%20account%20July-Aug).xlsx" TargetMode="External"/><Relationship Id="rId1" Type="http://schemas.openxmlformats.org/officeDocument/2006/relationships/externalLinkPath" Target="user_ban_info/result_20260924_105553(41%20simulated%20account%20July-Aug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lts export"/>
    </sheetNames>
    <sheetDataSet>
      <sheetData sheetId="0">
        <row r="2">
          <cell r="F2" t="str">
            <v>43374604</v>
          </cell>
          <cell r="G2" t="str">
            <v>FTU đặt hơn 40 đơn phá</v>
          </cell>
          <cell r="H2" t="str">
            <v>2031-08-06 10:06:49</v>
          </cell>
        </row>
        <row r="3">
          <cell r="F3" t="str">
            <v>43891958</v>
          </cell>
          <cell r="G3" t="str">
            <v>disruptive user, more than 20 fake orders</v>
          </cell>
          <cell r="H3" t="str">
            <v>2031-08-25 09:35:57</v>
          </cell>
        </row>
        <row r="4">
          <cell r="F4" t="str">
            <v>43862968</v>
          </cell>
          <cell r="G4" t="str">
            <v>disruptive user, more than 20 fake orders</v>
          </cell>
          <cell r="H4" t="str">
            <v>2031-08-24 10:23:29</v>
          </cell>
        </row>
        <row r="5">
          <cell r="F5" t="str">
            <v>42459099</v>
          </cell>
          <cell r="G5" t="str">
            <v>Fake order - Đặt 49 đơn liên tục, địa chỉ ko chính xác, tài xế không liên hệ được</v>
          </cell>
          <cell r="H5" t="str">
            <v>2031-07-22 10:24:05</v>
          </cell>
        </row>
        <row r="6">
          <cell r="F6" t="str">
            <v>42426641</v>
          </cell>
          <cell r="G6" t="str">
            <v>Fake orders - FTU đặt hơn 200 đơn hàng, địa chỉ không cụ thể, các TX đều không liên hệ được</v>
          </cell>
          <cell r="H6" t="str">
            <v>2031-07-22 12:09:47</v>
          </cell>
        </row>
        <row r="7">
          <cell r="F7" t="str">
            <v>42406507</v>
          </cell>
          <cell r="G7" t="str">
            <v>Fake orders - FTU đặt hơn 200 đơn hàng, địa chỉ không cụ thể, các TX đều không liên hệ được</v>
          </cell>
          <cell r="H7" t="str">
            <v>2031-07-22 12:10:28</v>
          </cell>
        </row>
        <row r="8">
          <cell r="F8" t="str">
            <v>42971568</v>
          </cell>
          <cell r="G8" t="str">
            <v>FTU đặt hơn 100 đơn phá, các TX đến nơi không liên hệ được</v>
          </cell>
          <cell r="H8" t="str">
            <v>2031-07-23 11:30:19</v>
          </cell>
        </row>
        <row r="9">
          <cell r="F9" t="str">
            <v>42997602</v>
          </cell>
          <cell r="G9" t="str">
            <v>FTU đặt hơn 200 đơn hàng, địa chỉ không cụ thể, các TX đều không liên hệ được</v>
          </cell>
          <cell r="H9" t="str">
            <v>2031-07-24 10:24:04</v>
          </cell>
        </row>
        <row r="10">
          <cell r="F10" t="str">
            <v>43614456</v>
          </cell>
          <cell r="G10" t="str">
            <v>FTU placed over 100 disruptive order</v>
          </cell>
          <cell r="H10" t="str">
            <v>2031-08-15 10:07:41</v>
          </cell>
        </row>
        <row r="11">
          <cell r="F11" t="str">
            <v>43674483</v>
          </cell>
          <cell r="G11" t="str">
            <v>disruptive user, more than 20 fake orders</v>
          </cell>
          <cell r="H11" t="str">
            <v>2031-08-17 08:56:05</v>
          </cell>
        </row>
        <row r="12">
          <cell r="F12" t="str">
            <v>43430885</v>
          </cell>
          <cell r="G12" t="str">
            <v>FTU placed over 100 disruptive orders</v>
          </cell>
          <cell r="H12" t="str">
            <v>2031-08-10 10:29:23</v>
          </cell>
        </row>
        <row r="13">
          <cell r="F13" t="str">
            <v>43230061</v>
          </cell>
          <cell r="G13" t="str">
            <v>FTU đặt hơn 100 đơn phá</v>
          </cell>
          <cell r="H13" t="str">
            <v>2031-08-01 10:01:46</v>
          </cell>
        </row>
        <row r="14">
          <cell r="F14" t="str">
            <v>43319297</v>
          </cell>
          <cell r="G14" t="str">
            <v>FTU đặt hơn 100 đơn phá</v>
          </cell>
          <cell r="H14" t="str">
            <v>2031-08-04 10:10:58</v>
          </cell>
        </row>
        <row r="15">
          <cell r="F15" t="str">
            <v>43166702</v>
          </cell>
          <cell r="G15" t="str">
            <v>Disruptive user, TX Phạm Minh Truyền 2852976 báo cáo Kh 43166702 đặt phá</v>
          </cell>
          <cell r="H15" t="str">
            <v>2031-07-30 10:00:09</v>
          </cell>
        </row>
        <row r="16">
          <cell r="F16" t="str">
            <v>43022614</v>
          </cell>
          <cell r="G16" t="str">
            <v>User đặt hơn 160 đơn phá, các TX đều không liên hệ được</v>
          </cell>
          <cell r="H16" t="str">
            <v>2031-07-27 10:39:43</v>
          </cell>
        </row>
        <row r="17">
          <cell r="F17" t="str">
            <v>43978801</v>
          </cell>
          <cell r="G17" t="str">
            <v>Placed more than 80 fake orders</v>
          </cell>
          <cell r="H17" t="str">
            <v>2031-08-28 10:10:00</v>
          </cell>
        </row>
        <row r="18">
          <cell r="F18" t="str">
            <v>43290314</v>
          </cell>
          <cell r="G18" t="str">
            <v>FTU đặt hơn 100 đơn phá. Offensive user's name</v>
          </cell>
          <cell r="H18" t="str">
            <v>2031-08-03 10:24:03</v>
          </cell>
        </row>
        <row r="19">
          <cell r="F19" t="str">
            <v>42463024</v>
          </cell>
          <cell r="G19" t="str">
            <v>Fake orders. Đặt 61 đơn trong 3 ngày, không liên hệ được</v>
          </cell>
          <cell r="H19" t="str">
            <v>2031-07-22 10:10:28</v>
          </cell>
        </row>
        <row r="20">
          <cell r="F20" t="str">
            <v>42913719</v>
          </cell>
          <cell r="G20" t="str">
            <v>Fake order - Corp đặt 200 đơn phá, các TX đều ko liên hệ được</v>
          </cell>
          <cell r="H20" t="str">
            <v>2031-07-22 10:25:04</v>
          </cell>
        </row>
        <row r="21">
          <cell r="F21" t="str">
            <v>43539274</v>
          </cell>
          <cell r="G21" t="str">
            <v>FTU placed over 100 disruptive order</v>
          </cell>
          <cell r="H21" t="str">
            <v>2031-08-12 10:27:38</v>
          </cell>
        </row>
        <row r="22">
          <cell r="F22" t="str">
            <v>43138108</v>
          </cell>
          <cell r="G22" t="str">
            <v>disruptive user, TX Phạm Minh Truyền 2852976 báo cáo Kh 43138108 đặt phá đơn</v>
          </cell>
          <cell r="H22" t="str">
            <v>2031-07-29 09:27:17</v>
          </cell>
        </row>
        <row r="23">
          <cell r="F23" t="str">
            <v>43920615</v>
          </cell>
          <cell r="G23" t="str">
            <v>Placed more than 100 fake orders</v>
          </cell>
          <cell r="H23" t="str">
            <v>2031-08-26 10:16:44</v>
          </cell>
        </row>
        <row r="24">
          <cell r="F24" t="str">
            <v>43346700</v>
          </cell>
          <cell r="G24" t="str">
            <v>User đặt hơn 100 đơn phá</v>
          </cell>
          <cell r="H24" t="str">
            <v>2031-08-05 10:13:34</v>
          </cell>
        </row>
        <row r="25">
          <cell r="F25" t="str">
            <v>43949404</v>
          </cell>
          <cell r="G25" t="str">
            <v>Placed over 100 fake orders</v>
          </cell>
          <cell r="H25" t="str">
            <v>2031-08-27 11:18:17</v>
          </cell>
        </row>
        <row r="26">
          <cell r="F26" t="str">
            <v>43566043</v>
          </cell>
          <cell r="G26" t="str">
            <v>FTU placed over 100 disruptive order</v>
          </cell>
          <cell r="H26" t="str">
            <v>2031-08-13 10:16:23</v>
          </cell>
        </row>
        <row r="27">
          <cell r="F27" t="str">
            <v>43110506</v>
          </cell>
          <cell r="G27" t="str">
            <v>disruptive user</v>
          </cell>
          <cell r="H27" t="str">
            <v>2031-07-28 09:56:11</v>
          </cell>
        </row>
        <row r="28">
          <cell r="F28" t="str">
            <v>43402439</v>
          </cell>
          <cell r="G28" t="str">
            <v>FTU placed over 100 disruptive orders</v>
          </cell>
          <cell r="H28" t="str">
            <v>2031-08-07 10:35:45</v>
          </cell>
        </row>
        <row r="29">
          <cell r="F29" t="str">
            <v>44010401</v>
          </cell>
          <cell r="G29" t="str">
            <v>Placed over 100 fake orders</v>
          </cell>
          <cell r="H29" t="str">
            <v>2031-08-31 10:06:07</v>
          </cell>
        </row>
        <row r="30">
          <cell r="F30" t="str">
            <v>43081554</v>
          </cell>
          <cell r="G30" t="str">
            <v>disruptive user, more than 20 fake orders</v>
          </cell>
          <cell r="H30" t="str">
            <v>2031-07-27 09:06:11</v>
          </cell>
        </row>
        <row r="31">
          <cell r="F31" t="str">
            <v>42463063</v>
          </cell>
          <cell r="G31" t="str">
            <v>Disruptive user, banning and tagging under Platform Ops and MD approve</v>
          </cell>
          <cell r="H31" t="str">
            <v>2031-07-07 16:34:11</v>
          </cell>
        </row>
        <row r="32">
          <cell r="F32" t="str">
            <v>42426592</v>
          </cell>
          <cell r="G32" t="str">
            <v>Fake order - FTU đặt hơn 200 đơn hàng, địa chỉ không cụ thể, các TX đều không liên hệ được</v>
          </cell>
          <cell r="H32" t="str">
            <v>2031-07-22 11:54:57</v>
          </cell>
        </row>
        <row r="33">
          <cell r="F33" t="str">
            <v>43593087</v>
          </cell>
          <cell r="G33" t="str">
            <v>disruptive user</v>
          </cell>
          <cell r="H33" t="str">
            <v>2031-08-14 09:43:19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abSelected="1" workbookViewId="0">
      <selection activeCell="D7" sqref="D7"/>
    </sheetView>
  </sheetViews>
  <sheetFormatPr defaultRowHeight="14.4" x14ac:dyDescent="0.3"/>
  <cols>
    <col min="1" max="1" width="9" bestFit="1" customWidth="1"/>
    <col min="2" max="2" width="19.5546875" bestFit="1" customWidth="1"/>
    <col min="3" max="3" width="30.77734375" bestFit="1" customWidth="1"/>
    <col min="4" max="4" width="51.77734375" bestFit="1" customWidth="1"/>
    <col min="5" max="5" width="9.21875" bestFit="1" customWidth="1"/>
    <col min="6" max="6" width="15" bestFit="1" customWidth="1"/>
    <col min="7" max="7" width="9.6640625" bestFit="1" customWidth="1"/>
    <col min="8" max="8" width="30.33203125" bestFit="1" customWidth="1"/>
    <col min="9" max="9" width="18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150</v>
      </c>
      <c r="I1" t="s">
        <v>151</v>
      </c>
    </row>
    <row r="2" spans="1:9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11</v>
      </c>
      <c r="G2" t="s">
        <v>12</v>
      </c>
      <c r="H2" t="str">
        <f>_xlfn.XLOOKUP(A2,'[1]Results export'!$F$2:$F$33,'[1]Results export'!$G$2:$G$33)</f>
        <v>FTU placed over 100 disruptive order</v>
      </c>
      <c r="I2" t="str">
        <f>_xlfn.XLOOKUP(A2,'[1]Results export'!$F$2:$F$33,'[1]Results export'!$H$2:$H$33)</f>
        <v>2031-08-12 10:27:38</v>
      </c>
    </row>
    <row r="3" spans="1:9" x14ac:dyDescent="0.3">
      <c r="A3" t="s">
        <v>13</v>
      </c>
      <c r="B3" t="s">
        <v>14</v>
      </c>
      <c r="C3" t="s">
        <v>15</v>
      </c>
      <c r="D3" t="s">
        <v>10</v>
      </c>
      <c r="E3" t="s">
        <v>11</v>
      </c>
      <c r="F3" t="s">
        <v>16</v>
      </c>
      <c r="G3" t="s">
        <v>12</v>
      </c>
      <c r="H3" t="str">
        <f>_xlfn.XLOOKUP(A3,'[1]Results export'!$F$2:$F$33,'[1]Results export'!$G$2:$G$33)</f>
        <v>Fake order - FTU đặt hơn 200 đơn hàng, địa chỉ không cụ thể, các TX đều không liên hệ được</v>
      </c>
      <c r="I3" t="str">
        <f>_xlfn.XLOOKUP(A3,'[1]Results export'!$F$2:$F$33,'[1]Results export'!$H$2:$H$33)</f>
        <v>2031-07-22 11:54:57</v>
      </c>
    </row>
    <row r="4" spans="1:9" x14ac:dyDescent="0.3">
      <c r="A4" t="s">
        <v>17</v>
      </c>
      <c r="B4" t="s">
        <v>18</v>
      </c>
      <c r="C4" t="s">
        <v>19</v>
      </c>
      <c r="D4" t="s">
        <v>10</v>
      </c>
      <c r="E4" t="s">
        <v>11</v>
      </c>
      <c r="F4" t="s">
        <v>11</v>
      </c>
      <c r="G4" t="s">
        <v>12</v>
      </c>
      <c r="H4" t="str">
        <f>_xlfn.XLOOKUP(A4,'[1]Results export'!$F$2:$F$33,'[1]Results export'!$G$2:$G$33)</f>
        <v>Placed more than 80 fake orders</v>
      </c>
      <c r="I4" t="str">
        <f>_xlfn.XLOOKUP(A4,'[1]Results export'!$F$2:$F$33,'[1]Results export'!$H$2:$H$33)</f>
        <v>2031-08-28 10:10:00</v>
      </c>
    </row>
    <row r="5" spans="1:9" x14ac:dyDescent="0.3">
      <c r="A5" t="s">
        <v>20</v>
      </c>
      <c r="B5" t="s">
        <v>21</v>
      </c>
      <c r="C5" t="s">
        <v>22</v>
      </c>
      <c r="D5" t="s">
        <v>10</v>
      </c>
      <c r="E5" t="s">
        <v>11</v>
      </c>
      <c r="F5" t="s">
        <v>11</v>
      </c>
      <c r="G5" t="s">
        <v>12</v>
      </c>
      <c r="H5" t="str">
        <f>_xlfn.XLOOKUP(A5,'[1]Results export'!$F$2:$F$33,'[1]Results export'!$G$2:$G$33)</f>
        <v>Placed over 100 fake orders</v>
      </c>
      <c r="I5" t="str">
        <f>_xlfn.XLOOKUP(A5,'[1]Results export'!$F$2:$F$33,'[1]Results export'!$H$2:$H$33)</f>
        <v>2031-08-31 10:06:07</v>
      </c>
    </row>
    <row r="6" spans="1:9" x14ac:dyDescent="0.3">
      <c r="A6" t="s">
        <v>23</v>
      </c>
      <c r="B6" t="s">
        <v>24</v>
      </c>
      <c r="C6" t="s">
        <v>25</v>
      </c>
      <c r="D6" t="s">
        <v>10</v>
      </c>
      <c r="E6" t="s">
        <v>11</v>
      </c>
      <c r="F6" t="s">
        <v>11</v>
      </c>
      <c r="G6" t="s">
        <v>12</v>
      </c>
      <c r="H6" t="str">
        <f>_xlfn.XLOOKUP(A6,'[1]Results export'!$F$2:$F$33,'[1]Results export'!$G$2:$G$33)</f>
        <v>disruptive user, more than 20 fake orders</v>
      </c>
      <c r="I6" t="str">
        <f>_xlfn.XLOOKUP(A6,'[1]Results export'!$F$2:$F$33,'[1]Results export'!$H$2:$H$33)</f>
        <v>2031-08-24 10:23:29</v>
      </c>
    </row>
    <row r="7" spans="1:9" x14ac:dyDescent="0.3">
      <c r="A7" t="s">
        <v>26</v>
      </c>
      <c r="B7" t="s">
        <v>27</v>
      </c>
      <c r="C7" t="s">
        <v>28</v>
      </c>
      <c r="D7" t="s">
        <v>10</v>
      </c>
      <c r="E7" t="s">
        <v>11</v>
      </c>
      <c r="F7" t="s">
        <v>11</v>
      </c>
      <c r="G7" t="s">
        <v>12</v>
      </c>
      <c r="H7" t="str">
        <f>_xlfn.XLOOKUP(A7,'[1]Results export'!$F$2:$F$33,'[1]Results export'!$G$2:$G$33)</f>
        <v>disruptive user, more than 20 fake orders</v>
      </c>
      <c r="I7" t="str">
        <f>_xlfn.XLOOKUP(A7,'[1]Results export'!$F$2:$F$33,'[1]Results export'!$H$2:$H$33)</f>
        <v>2031-08-25 09:35:57</v>
      </c>
    </row>
    <row r="8" spans="1:9" x14ac:dyDescent="0.3">
      <c r="A8" t="s">
        <v>29</v>
      </c>
      <c r="B8" t="s">
        <v>30</v>
      </c>
      <c r="C8" t="s">
        <v>31</v>
      </c>
      <c r="D8" t="s">
        <v>10</v>
      </c>
      <c r="E8" t="s">
        <v>11</v>
      </c>
      <c r="F8" t="s">
        <v>11</v>
      </c>
      <c r="G8" t="s">
        <v>12</v>
      </c>
      <c r="H8" t="str">
        <f>_xlfn.XLOOKUP(A8,'[1]Results export'!$F$2:$F$33,'[1]Results export'!$G$2:$G$33)</f>
        <v>FTU đặt hơn 100 đơn phá</v>
      </c>
      <c r="I8" t="str">
        <f>_xlfn.XLOOKUP(A8,'[1]Results export'!$F$2:$F$33,'[1]Results export'!$H$2:$H$33)</f>
        <v>2031-08-01 10:01:46</v>
      </c>
    </row>
    <row r="9" spans="1:9" x14ac:dyDescent="0.3">
      <c r="A9" t="s">
        <v>32</v>
      </c>
      <c r="B9" t="s">
        <v>33</v>
      </c>
      <c r="C9" t="s">
        <v>34</v>
      </c>
      <c r="D9" t="s">
        <v>10</v>
      </c>
      <c r="E9" t="s">
        <v>11</v>
      </c>
      <c r="F9" t="s">
        <v>35</v>
      </c>
      <c r="G9" t="s">
        <v>12</v>
      </c>
      <c r="H9" t="str">
        <f>_xlfn.XLOOKUP(A9,'[1]Results export'!$F$2:$F$33,'[1]Results export'!$G$2:$G$33)</f>
        <v>disruptive user, more than 20 fake orders</v>
      </c>
      <c r="I9" t="str">
        <f>_xlfn.XLOOKUP(A9,'[1]Results export'!$F$2:$F$33,'[1]Results export'!$H$2:$H$33)</f>
        <v>2031-07-27 09:06:11</v>
      </c>
    </row>
    <row r="10" spans="1:9" x14ac:dyDescent="0.3">
      <c r="A10" t="s">
        <v>36</v>
      </c>
      <c r="B10" t="s">
        <v>37</v>
      </c>
      <c r="C10" t="s">
        <v>38</v>
      </c>
      <c r="D10" t="s">
        <v>10</v>
      </c>
      <c r="E10" t="s">
        <v>11</v>
      </c>
      <c r="F10" t="s">
        <v>11</v>
      </c>
      <c r="G10" t="s">
        <v>39</v>
      </c>
      <c r="H10" t="e">
        <f>_xlfn.XLOOKUP(A10,'[1]Results export'!$F$2:$F$33,'[1]Results export'!$G$2:$G$33)</f>
        <v>#N/A</v>
      </c>
      <c r="I10" t="e">
        <f>_xlfn.XLOOKUP(A10,'[1]Results export'!$F$2:$F$33,'[1]Results export'!$H$2:$H$33)</f>
        <v>#N/A</v>
      </c>
    </row>
    <row r="11" spans="1:9" x14ac:dyDescent="0.3">
      <c r="A11" t="s">
        <v>40</v>
      </c>
      <c r="B11" t="s">
        <v>41</v>
      </c>
      <c r="C11" t="s">
        <v>42</v>
      </c>
      <c r="D11" t="s">
        <v>10</v>
      </c>
      <c r="E11" t="s">
        <v>11</v>
      </c>
      <c r="F11" t="s">
        <v>43</v>
      </c>
      <c r="G11" t="s">
        <v>12</v>
      </c>
      <c r="H11" t="str">
        <f>_xlfn.XLOOKUP(A11,'[1]Results export'!$F$2:$F$33,'[1]Results export'!$G$2:$G$33)</f>
        <v>Disruptive user, banning and tagging under Platform Ops and MD approve</v>
      </c>
      <c r="I11" t="str">
        <f>_xlfn.XLOOKUP(A11,'[1]Results export'!$F$2:$F$33,'[1]Results export'!$H$2:$H$33)</f>
        <v>2031-07-07 16:34:11</v>
      </c>
    </row>
    <row r="12" spans="1:9" x14ac:dyDescent="0.3">
      <c r="A12" t="s">
        <v>44</v>
      </c>
      <c r="B12" t="s">
        <v>45</v>
      </c>
      <c r="C12" t="s">
        <v>46</v>
      </c>
      <c r="D12" t="s">
        <v>10</v>
      </c>
      <c r="E12" t="s">
        <v>11</v>
      </c>
      <c r="F12" t="s">
        <v>47</v>
      </c>
      <c r="G12" t="s">
        <v>12</v>
      </c>
      <c r="H12" t="str">
        <f>_xlfn.XLOOKUP(A12,'[1]Results export'!$F$2:$F$33,'[1]Results export'!$G$2:$G$33)</f>
        <v>User đặt hơn 160 đơn phá, các TX đều không liên hệ được</v>
      </c>
      <c r="I12" t="str">
        <f>_xlfn.XLOOKUP(A12,'[1]Results export'!$F$2:$F$33,'[1]Results export'!$H$2:$H$33)</f>
        <v>2031-07-27 10:39:43</v>
      </c>
    </row>
    <row r="13" spans="1:9" x14ac:dyDescent="0.3">
      <c r="A13" t="s">
        <v>48</v>
      </c>
      <c r="B13" t="s">
        <v>49</v>
      </c>
      <c r="C13" t="s">
        <v>50</v>
      </c>
      <c r="D13" t="s">
        <v>10</v>
      </c>
      <c r="E13" t="s">
        <v>11</v>
      </c>
      <c r="F13" t="s">
        <v>11</v>
      </c>
      <c r="G13" t="s">
        <v>12</v>
      </c>
      <c r="H13" t="str">
        <f>_xlfn.XLOOKUP(A13,'[1]Results export'!$F$2:$F$33,'[1]Results export'!$G$2:$G$33)</f>
        <v>Placed more than 100 fake orders</v>
      </c>
      <c r="I13" t="str">
        <f>_xlfn.XLOOKUP(A13,'[1]Results export'!$F$2:$F$33,'[1]Results export'!$H$2:$H$33)</f>
        <v>2031-08-26 10:16:44</v>
      </c>
    </row>
    <row r="14" spans="1:9" x14ac:dyDescent="0.3">
      <c r="A14" t="s">
        <v>51</v>
      </c>
      <c r="B14" t="s">
        <v>52</v>
      </c>
      <c r="C14" t="s">
        <v>53</v>
      </c>
      <c r="D14" t="s">
        <v>10</v>
      </c>
      <c r="E14" t="s">
        <v>11</v>
      </c>
      <c r="F14" t="s">
        <v>11</v>
      </c>
      <c r="G14" t="s">
        <v>12</v>
      </c>
      <c r="H14" t="e">
        <f>_xlfn.XLOOKUP(A14,'[1]Results export'!$F$2:$F$33,'[1]Results export'!$G$2:$G$33)</f>
        <v>#N/A</v>
      </c>
      <c r="I14" t="e">
        <f>_xlfn.XLOOKUP(A14,'[1]Results export'!$F$2:$F$33,'[1]Results export'!$H$2:$H$33)</f>
        <v>#N/A</v>
      </c>
    </row>
    <row r="15" spans="1:9" x14ac:dyDescent="0.3">
      <c r="A15" t="s">
        <v>54</v>
      </c>
      <c r="B15" t="s">
        <v>55</v>
      </c>
      <c r="C15" t="s">
        <v>56</v>
      </c>
      <c r="D15" t="s">
        <v>10</v>
      </c>
      <c r="E15" t="s">
        <v>11</v>
      </c>
      <c r="F15" t="s">
        <v>11</v>
      </c>
      <c r="G15" t="s">
        <v>12</v>
      </c>
      <c r="H15" t="str">
        <f>_xlfn.XLOOKUP(A15,'[1]Results export'!$F$2:$F$33,'[1]Results export'!$G$2:$G$33)</f>
        <v>Fake orders - FTU đặt hơn 200 đơn hàng, địa chỉ không cụ thể, các TX đều không liên hệ được</v>
      </c>
      <c r="I15" t="str">
        <f>_xlfn.XLOOKUP(A15,'[1]Results export'!$F$2:$F$33,'[1]Results export'!$H$2:$H$33)</f>
        <v>2031-07-22 12:10:28</v>
      </c>
    </row>
    <row r="16" spans="1:9" x14ac:dyDescent="0.3">
      <c r="A16" t="s">
        <v>57</v>
      </c>
      <c r="B16" t="s">
        <v>58</v>
      </c>
      <c r="C16" t="s">
        <v>59</v>
      </c>
      <c r="D16" t="s">
        <v>10</v>
      </c>
      <c r="E16" t="s">
        <v>11</v>
      </c>
      <c r="F16" t="s">
        <v>11</v>
      </c>
      <c r="G16" t="s">
        <v>39</v>
      </c>
      <c r="H16" t="e">
        <f>_xlfn.XLOOKUP(A16,'[1]Results export'!$F$2:$F$33,'[1]Results export'!$G$2:$G$33)</f>
        <v>#N/A</v>
      </c>
      <c r="I16" t="e">
        <f>_xlfn.XLOOKUP(A16,'[1]Results export'!$F$2:$F$33,'[1]Results export'!$H$2:$H$33)</f>
        <v>#N/A</v>
      </c>
    </row>
    <row r="17" spans="1:9" x14ac:dyDescent="0.3">
      <c r="A17" t="s">
        <v>60</v>
      </c>
      <c r="B17" t="s">
        <v>61</v>
      </c>
      <c r="C17" t="s">
        <v>62</v>
      </c>
      <c r="D17" t="s">
        <v>10</v>
      </c>
      <c r="E17" t="s">
        <v>11</v>
      </c>
      <c r="F17" t="s">
        <v>11</v>
      </c>
      <c r="G17" t="s">
        <v>12</v>
      </c>
      <c r="H17" t="str">
        <f>_xlfn.XLOOKUP(A17,'[1]Results export'!$F$2:$F$33,'[1]Results export'!$G$2:$G$33)</f>
        <v>User đặt hơn 100 đơn phá</v>
      </c>
      <c r="I17" t="str">
        <f>_xlfn.XLOOKUP(A17,'[1]Results export'!$F$2:$F$33,'[1]Results export'!$H$2:$H$33)</f>
        <v>2031-08-05 10:13:34</v>
      </c>
    </row>
    <row r="18" spans="1:9" x14ac:dyDescent="0.3">
      <c r="A18" t="s">
        <v>63</v>
      </c>
      <c r="B18" t="s">
        <v>64</v>
      </c>
      <c r="C18" t="s">
        <v>65</v>
      </c>
      <c r="D18" t="s">
        <v>10</v>
      </c>
      <c r="E18" t="s">
        <v>11</v>
      </c>
      <c r="F18" t="s">
        <v>11</v>
      </c>
      <c r="G18" t="s">
        <v>12</v>
      </c>
      <c r="H18" t="str">
        <f>_xlfn.XLOOKUP(A18,'[1]Results export'!$F$2:$F$33,'[1]Results export'!$G$2:$G$33)</f>
        <v>FTU đặt hơn 100 đơn phá</v>
      </c>
      <c r="I18" t="str">
        <f>_xlfn.XLOOKUP(A18,'[1]Results export'!$F$2:$F$33,'[1]Results export'!$H$2:$H$33)</f>
        <v>2031-08-04 10:10:58</v>
      </c>
    </row>
    <row r="19" spans="1:9" x14ac:dyDescent="0.3">
      <c r="A19" t="s">
        <v>66</v>
      </c>
      <c r="B19" t="s">
        <v>67</v>
      </c>
      <c r="C19" t="s">
        <v>68</v>
      </c>
      <c r="D19" t="s">
        <v>10</v>
      </c>
      <c r="E19" t="s">
        <v>11</v>
      </c>
      <c r="F19" t="s">
        <v>11</v>
      </c>
      <c r="G19" t="s">
        <v>12</v>
      </c>
      <c r="H19" t="str">
        <f>_xlfn.XLOOKUP(A19,'[1]Results export'!$F$2:$F$33,'[1]Results export'!$G$2:$G$33)</f>
        <v>Placed over 100 fake orders</v>
      </c>
      <c r="I19" t="str">
        <f>_xlfn.XLOOKUP(A19,'[1]Results export'!$F$2:$F$33,'[1]Results export'!$H$2:$H$33)</f>
        <v>2031-08-27 11:18:17</v>
      </c>
    </row>
    <row r="20" spans="1:9" x14ac:dyDescent="0.3">
      <c r="A20" t="s">
        <v>69</v>
      </c>
      <c r="B20" t="s">
        <v>70</v>
      </c>
      <c r="C20" t="s">
        <v>71</v>
      </c>
      <c r="D20" t="s">
        <v>10</v>
      </c>
      <c r="E20" t="s">
        <v>11</v>
      </c>
      <c r="F20" t="s">
        <v>11</v>
      </c>
      <c r="G20" t="s">
        <v>12</v>
      </c>
      <c r="H20" t="str">
        <f>_xlfn.XLOOKUP(A20,'[1]Results export'!$F$2:$F$33,'[1]Results export'!$G$2:$G$33)</f>
        <v>Fake orders - FTU đặt hơn 200 đơn hàng, địa chỉ không cụ thể, các TX đều không liên hệ được</v>
      </c>
      <c r="I20" t="str">
        <f>_xlfn.XLOOKUP(A20,'[1]Results export'!$F$2:$F$33,'[1]Results export'!$H$2:$H$33)</f>
        <v>2031-07-22 12:09:47</v>
      </c>
    </row>
    <row r="21" spans="1:9" x14ac:dyDescent="0.3">
      <c r="A21" t="s">
        <v>72</v>
      </c>
      <c r="B21" t="s">
        <v>73</v>
      </c>
      <c r="C21" t="s">
        <v>74</v>
      </c>
      <c r="D21" t="s">
        <v>10</v>
      </c>
      <c r="E21" t="s">
        <v>11</v>
      </c>
      <c r="F21" t="s">
        <v>11</v>
      </c>
      <c r="G21" t="s">
        <v>12</v>
      </c>
      <c r="H21" t="str">
        <f>_xlfn.XLOOKUP(A21,'[1]Results export'!$F$2:$F$33,'[1]Results export'!$G$2:$G$33)</f>
        <v>Fake order - Đặt 49 đơn liên tục, địa chỉ ko chính xác, tài xế không liên hệ được</v>
      </c>
      <c r="I21" t="str">
        <f>_xlfn.XLOOKUP(A21,'[1]Results export'!$F$2:$F$33,'[1]Results export'!$H$2:$H$33)</f>
        <v>2031-07-22 10:24:05</v>
      </c>
    </row>
    <row r="22" spans="1:9" x14ac:dyDescent="0.3">
      <c r="A22" t="s">
        <v>75</v>
      </c>
      <c r="B22" t="s">
        <v>76</v>
      </c>
      <c r="C22" t="s">
        <v>77</v>
      </c>
      <c r="D22" t="s">
        <v>10</v>
      </c>
      <c r="E22" t="s">
        <v>11</v>
      </c>
      <c r="F22" t="s">
        <v>11</v>
      </c>
      <c r="G22" t="s">
        <v>39</v>
      </c>
      <c r="H22" t="str">
        <f>_xlfn.XLOOKUP(A22,'[1]Results export'!$F$2:$F$33,'[1]Results export'!$G$2:$G$33)</f>
        <v>disruptive user</v>
      </c>
      <c r="I22" t="str">
        <f>_xlfn.XLOOKUP(A22,'[1]Results export'!$F$2:$F$33,'[1]Results export'!$H$2:$H$33)</f>
        <v>2031-07-28 09:56:11</v>
      </c>
    </row>
    <row r="23" spans="1:9" x14ac:dyDescent="0.3">
      <c r="A23" t="s">
        <v>78</v>
      </c>
      <c r="B23" t="s">
        <v>79</v>
      </c>
      <c r="C23" t="s">
        <v>80</v>
      </c>
      <c r="D23" t="s">
        <v>10</v>
      </c>
      <c r="E23" t="s">
        <v>11</v>
      </c>
      <c r="F23" t="s">
        <v>11</v>
      </c>
      <c r="G23" t="s">
        <v>12</v>
      </c>
      <c r="H23" t="str">
        <f>_xlfn.XLOOKUP(A23,'[1]Results export'!$F$2:$F$33,'[1]Results export'!$G$2:$G$33)</f>
        <v>FTU placed over 100 disruptive orders</v>
      </c>
      <c r="I23" t="str">
        <f>_xlfn.XLOOKUP(A23,'[1]Results export'!$F$2:$F$33,'[1]Results export'!$H$2:$H$33)</f>
        <v>2031-08-07 10:35:45</v>
      </c>
    </row>
    <row r="24" spans="1:9" x14ac:dyDescent="0.3">
      <c r="A24" t="s">
        <v>81</v>
      </c>
      <c r="B24" t="s">
        <v>82</v>
      </c>
      <c r="C24" t="s">
        <v>83</v>
      </c>
      <c r="D24" t="s">
        <v>10</v>
      </c>
      <c r="E24" t="s">
        <v>11</v>
      </c>
      <c r="F24" t="s">
        <v>84</v>
      </c>
      <c r="G24" t="s">
        <v>12</v>
      </c>
      <c r="H24" t="e">
        <f>_xlfn.XLOOKUP(A24,'[1]Results export'!$F$2:$F$33,'[1]Results export'!$G$2:$G$33)</f>
        <v>#N/A</v>
      </c>
      <c r="I24" t="e">
        <f>_xlfn.XLOOKUP(A24,'[1]Results export'!$F$2:$F$33,'[1]Results export'!$H$2:$H$33)</f>
        <v>#N/A</v>
      </c>
    </row>
    <row r="25" spans="1:9" x14ac:dyDescent="0.3">
      <c r="A25" t="s">
        <v>85</v>
      </c>
      <c r="B25" t="s">
        <v>86</v>
      </c>
      <c r="C25" t="s">
        <v>87</v>
      </c>
      <c r="D25" t="s">
        <v>10</v>
      </c>
      <c r="E25" t="s">
        <v>11</v>
      </c>
      <c r="F25" t="s">
        <v>88</v>
      </c>
      <c r="G25" t="s">
        <v>12</v>
      </c>
      <c r="H25" t="str">
        <f>_xlfn.XLOOKUP(A25,'[1]Results export'!$F$2:$F$33,'[1]Results export'!$G$2:$G$33)</f>
        <v>FTU đặt hơn 100 đơn phá. Offensive user's name</v>
      </c>
      <c r="I25" t="str">
        <f>_xlfn.XLOOKUP(A25,'[1]Results export'!$F$2:$F$33,'[1]Results export'!$H$2:$H$33)</f>
        <v>2031-08-03 10:24:03</v>
      </c>
    </row>
    <row r="26" spans="1:9" x14ac:dyDescent="0.3">
      <c r="A26" t="s">
        <v>89</v>
      </c>
      <c r="B26" t="s">
        <v>90</v>
      </c>
      <c r="C26" t="s">
        <v>91</v>
      </c>
      <c r="D26" t="s">
        <v>10</v>
      </c>
      <c r="E26" t="s">
        <v>11</v>
      </c>
      <c r="F26" t="s">
        <v>11</v>
      </c>
      <c r="G26" t="s">
        <v>12</v>
      </c>
      <c r="H26" t="str">
        <f>_xlfn.XLOOKUP(A26,'[1]Results export'!$F$2:$F$33,'[1]Results export'!$G$2:$G$33)</f>
        <v>disruptive user, TX Phạm Minh Truyền 2852976 báo cáo Kh 43138108 đặt phá đơn</v>
      </c>
      <c r="I26" t="str">
        <f>_xlfn.XLOOKUP(A26,'[1]Results export'!$F$2:$F$33,'[1]Results export'!$H$2:$H$33)</f>
        <v>2031-07-29 09:27:17</v>
      </c>
    </row>
    <row r="27" spans="1:9" x14ac:dyDescent="0.3">
      <c r="A27" t="s">
        <v>92</v>
      </c>
      <c r="B27" t="s">
        <v>93</v>
      </c>
      <c r="C27" t="s">
        <v>94</v>
      </c>
      <c r="D27" t="s">
        <v>10</v>
      </c>
      <c r="E27" t="s">
        <v>11</v>
      </c>
      <c r="F27" t="s">
        <v>95</v>
      </c>
      <c r="G27" t="s">
        <v>12</v>
      </c>
      <c r="H27" t="str">
        <f>_xlfn.XLOOKUP(A27,'[1]Results export'!$F$2:$F$33,'[1]Results export'!$G$2:$G$33)</f>
        <v>FTU đặt hơn 200 đơn hàng, địa chỉ không cụ thể, các TX đều không liên hệ được</v>
      </c>
      <c r="I27" t="str">
        <f>_xlfn.XLOOKUP(A27,'[1]Results export'!$F$2:$F$33,'[1]Results export'!$H$2:$H$33)</f>
        <v>2031-07-24 10:24:04</v>
      </c>
    </row>
    <row r="28" spans="1:9" x14ac:dyDescent="0.3">
      <c r="A28" t="s">
        <v>96</v>
      </c>
      <c r="B28" t="s">
        <v>97</v>
      </c>
      <c r="C28" t="s">
        <v>98</v>
      </c>
      <c r="D28" t="s">
        <v>10</v>
      </c>
      <c r="E28" t="s">
        <v>11</v>
      </c>
      <c r="F28" t="s">
        <v>99</v>
      </c>
      <c r="G28" t="s">
        <v>12</v>
      </c>
      <c r="H28" t="str">
        <f>_xlfn.XLOOKUP(A28,'[1]Results export'!$F$2:$F$33,'[1]Results export'!$G$2:$G$33)</f>
        <v>Fake orders. Đặt 61 đơn trong 3 ngày, không liên hệ được</v>
      </c>
      <c r="I28" t="str">
        <f>_xlfn.XLOOKUP(A28,'[1]Results export'!$F$2:$F$33,'[1]Results export'!$H$2:$H$33)</f>
        <v>2031-07-22 10:10:28</v>
      </c>
    </row>
    <row r="29" spans="1:9" x14ac:dyDescent="0.3">
      <c r="A29" t="s">
        <v>100</v>
      </c>
      <c r="B29" t="s">
        <v>101</v>
      </c>
      <c r="C29" t="s">
        <v>102</v>
      </c>
      <c r="D29" t="s">
        <v>10</v>
      </c>
      <c r="E29" t="s">
        <v>11</v>
      </c>
      <c r="F29" t="s">
        <v>11</v>
      </c>
      <c r="G29" t="s">
        <v>39</v>
      </c>
      <c r="H29" t="e">
        <f>_xlfn.XLOOKUP(A29,'[1]Results export'!$F$2:$F$33,'[1]Results export'!$G$2:$G$33)</f>
        <v>#N/A</v>
      </c>
      <c r="I29" t="e">
        <f>_xlfn.XLOOKUP(A29,'[1]Results export'!$F$2:$F$33,'[1]Results export'!$H$2:$H$33)</f>
        <v>#N/A</v>
      </c>
    </row>
    <row r="30" spans="1:9" x14ac:dyDescent="0.3">
      <c r="A30" t="s">
        <v>103</v>
      </c>
      <c r="B30" t="s">
        <v>104</v>
      </c>
      <c r="C30" t="s">
        <v>105</v>
      </c>
      <c r="D30" t="s">
        <v>10</v>
      </c>
      <c r="E30" t="s">
        <v>11</v>
      </c>
      <c r="F30" t="s">
        <v>11</v>
      </c>
      <c r="G30" t="s">
        <v>12</v>
      </c>
      <c r="H30" t="str">
        <f>_xlfn.XLOOKUP(A30,'[1]Results export'!$F$2:$F$33,'[1]Results export'!$G$2:$G$33)</f>
        <v>FTU đặt hơn 100 đơn phá, các TX đến nơi không liên hệ được</v>
      </c>
      <c r="I30" t="str">
        <f>_xlfn.XLOOKUP(A30,'[1]Results export'!$F$2:$F$33,'[1]Results export'!$H$2:$H$33)</f>
        <v>2031-07-23 11:30:19</v>
      </c>
    </row>
    <row r="31" spans="1:9" x14ac:dyDescent="0.3">
      <c r="A31" t="s">
        <v>106</v>
      </c>
      <c r="B31" t="s">
        <v>107</v>
      </c>
      <c r="C31" t="s">
        <v>108</v>
      </c>
      <c r="D31" t="s">
        <v>10</v>
      </c>
      <c r="E31" t="s">
        <v>11</v>
      </c>
      <c r="F31" t="s">
        <v>11</v>
      </c>
      <c r="G31" t="s">
        <v>12</v>
      </c>
      <c r="H31" t="str">
        <f>_xlfn.XLOOKUP(A31,'[1]Results export'!$F$2:$F$33,'[1]Results export'!$G$2:$G$33)</f>
        <v>FTU đặt hơn 40 đơn phá</v>
      </c>
      <c r="I31" t="str">
        <f>_xlfn.XLOOKUP(A31,'[1]Results export'!$F$2:$F$33,'[1]Results export'!$H$2:$H$33)</f>
        <v>2031-08-06 10:06:49</v>
      </c>
    </row>
    <row r="32" spans="1:9" x14ac:dyDescent="0.3">
      <c r="A32" t="s">
        <v>109</v>
      </c>
      <c r="B32" t="s">
        <v>110</v>
      </c>
      <c r="C32" t="s">
        <v>111</v>
      </c>
      <c r="D32" t="s">
        <v>10</v>
      </c>
      <c r="E32" t="s">
        <v>11</v>
      </c>
      <c r="F32" t="s">
        <v>11</v>
      </c>
      <c r="G32" t="s">
        <v>12</v>
      </c>
      <c r="H32" t="e">
        <f>_xlfn.XLOOKUP(A32,'[1]Results export'!$F$2:$F$33,'[1]Results export'!$G$2:$G$33)</f>
        <v>#N/A</v>
      </c>
      <c r="I32" t="e">
        <f>_xlfn.XLOOKUP(A32,'[1]Results export'!$F$2:$F$33,'[1]Results export'!$H$2:$H$33)</f>
        <v>#N/A</v>
      </c>
    </row>
    <row r="33" spans="1:9" x14ac:dyDescent="0.3">
      <c r="A33" t="s">
        <v>112</v>
      </c>
      <c r="B33" t="s">
        <v>113</v>
      </c>
      <c r="C33" t="s">
        <v>114</v>
      </c>
      <c r="D33" t="s">
        <v>10</v>
      </c>
      <c r="E33" t="s">
        <v>11</v>
      </c>
      <c r="F33" t="s">
        <v>11</v>
      </c>
      <c r="G33" t="s">
        <v>39</v>
      </c>
      <c r="H33" t="e">
        <f>_xlfn.XLOOKUP(A33,'[1]Results export'!$F$2:$F$33,'[1]Results export'!$G$2:$G$33)</f>
        <v>#N/A</v>
      </c>
      <c r="I33" t="e">
        <f>_xlfn.XLOOKUP(A33,'[1]Results export'!$F$2:$F$33,'[1]Results export'!$H$2:$H$33)</f>
        <v>#N/A</v>
      </c>
    </row>
    <row r="34" spans="1:9" x14ac:dyDescent="0.3">
      <c r="A34" t="s">
        <v>115</v>
      </c>
      <c r="B34" t="s">
        <v>116</v>
      </c>
      <c r="C34" t="s">
        <v>117</v>
      </c>
      <c r="D34" t="s">
        <v>10</v>
      </c>
      <c r="E34" t="s">
        <v>11</v>
      </c>
      <c r="F34" t="s">
        <v>11</v>
      </c>
      <c r="G34" t="s">
        <v>12</v>
      </c>
      <c r="H34" t="str">
        <f>_xlfn.XLOOKUP(A34,'[1]Results export'!$F$2:$F$33,'[1]Results export'!$G$2:$G$33)</f>
        <v>FTU placed over 100 disruptive order</v>
      </c>
      <c r="I34" t="str">
        <f>_xlfn.XLOOKUP(A34,'[1]Results export'!$F$2:$F$33,'[1]Results export'!$H$2:$H$33)</f>
        <v>2031-08-13 10:16:23</v>
      </c>
    </row>
    <row r="35" spans="1:9" x14ac:dyDescent="0.3">
      <c r="A35" t="s">
        <v>118</v>
      </c>
      <c r="B35" t="s">
        <v>119</v>
      </c>
      <c r="C35" t="s">
        <v>120</v>
      </c>
      <c r="D35" t="s">
        <v>10</v>
      </c>
      <c r="E35" t="s">
        <v>11</v>
      </c>
      <c r="F35" t="s">
        <v>11</v>
      </c>
      <c r="G35" t="s">
        <v>12</v>
      </c>
      <c r="H35" t="str">
        <f>_xlfn.XLOOKUP(A35,'[1]Results export'!$F$2:$F$33,'[1]Results export'!$G$2:$G$33)</f>
        <v>disruptive user, more than 20 fake orders</v>
      </c>
      <c r="I35" t="str">
        <f>_xlfn.XLOOKUP(A35,'[1]Results export'!$F$2:$F$33,'[1]Results export'!$H$2:$H$33)</f>
        <v>2031-08-17 08:56:05</v>
      </c>
    </row>
    <row r="36" spans="1:9" x14ac:dyDescent="0.3">
      <c r="A36" t="s">
        <v>121</v>
      </c>
      <c r="B36" t="s">
        <v>122</v>
      </c>
      <c r="C36" t="s">
        <v>123</v>
      </c>
      <c r="D36" t="s">
        <v>10</v>
      </c>
      <c r="E36" t="s">
        <v>11</v>
      </c>
      <c r="F36" t="s">
        <v>124</v>
      </c>
      <c r="G36" t="s">
        <v>12</v>
      </c>
      <c r="H36" t="str">
        <f>_xlfn.XLOOKUP(A36,'[1]Results export'!$F$2:$F$33,'[1]Results export'!$G$2:$G$33)</f>
        <v>Fake order - Corp đặt 200 đơn phá, các TX đều ko liên hệ được</v>
      </c>
      <c r="I36" t="str">
        <f>_xlfn.XLOOKUP(A36,'[1]Results export'!$F$2:$F$33,'[1]Results export'!$H$2:$H$33)</f>
        <v>2031-07-22 10:25:04</v>
      </c>
    </row>
    <row r="37" spans="1:9" x14ac:dyDescent="0.3">
      <c r="A37" t="s">
        <v>125</v>
      </c>
      <c r="B37" t="s">
        <v>126</v>
      </c>
      <c r="C37" t="s">
        <v>127</v>
      </c>
      <c r="D37" t="s">
        <v>10</v>
      </c>
      <c r="E37" t="s">
        <v>11</v>
      </c>
      <c r="F37" t="s">
        <v>11</v>
      </c>
      <c r="G37" t="s">
        <v>12</v>
      </c>
      <c r="H37" t="e">
        <f>_xlfn.XLOOKUP(A37,'[1]Results export'!$F$2:$F$33,'[1]Results export'!$G$2:$G$33)</f>
        <v>#N/A</v>
      </c>
      <c r="I37" t="e">
        <f>_xlfn.XLOOKUP(A37,'[1]Results export'!$F$2:$F$33,'[1]Results export'!$H$2:$H$33)</f>
        <v>#N/A</v>
      </c>
    </row>
    <row r="38" spans="1:9" x14ac:dyDescent="0.3">
      <c r="A38" t="s">
        <v>128</v>
      </c>
      <c r="B38" t="s">
        <v>129</v>
      </c>
      <c r="C38" t="s">
        <v>130</v>
      </c>
      <c r="D38" t="s">
        <v>131</v>
      </c>
      <c r="E38" t="s">
        <v>132</v>
      </c>
      <c r="F38" t="s">
        <v>133</v>
      </c>
      <c r="G38" t="s">
        <v>39</v>
      </c>
      <c r="H38" t="e">
        <f>_xlfn.XLOOKUP(A38,'[1]Results export'!$F$2:$F$33,'[1]Results export'!$G$2:$G$33)</f>
        <v>#N/A</v>
      </c>
      <c r="I38" t="e">
        <f>_xlfn.XLOOKUP(A38,'[1]Results export'!$F$2:$F$33,'[1]Results export'!$H$2:$H$33)</f>
        <v>#N/A</v>
      </c>
    </row>
    <row r="39" spans="1:9" x14ac:dyDescent="0.3">
      <c r="A39" t="s">
        <v>134</v>
      </c>
      <c r="B39" t="s">
        <v>135</v>
      </c>
      <c r="C39" t="s">
        <v>136</v>
      </c>
      <c r="D39" t="s">
        <v>137</v>
      </c>
      <c r="E39" t="s">
        <v>11</v>
      </c>
      <c r="F39" t="s">
        <v>11</v>
      </c>
      <c r="G39" t="s">
        <v>39</v>
      </c>
      <c r="H39" t="e">
        <f>_xlfn.XLOOKUP(A39,'[1]Results export'!$F$2:$F$33,'[1]Results export'!$G$2:$G$33)</f>
        <v>#N/A</v>
      </c>
      <c r="I39" t="e">
        <f>_xlfn.XLOOKUP(A39,'[1]Results export'!$F$2:$F$33,'[1]Results export'!$H$2:$H$33)</f>
        <v>#N/A</v>
      </c>
    </row>
    <row r="40" spans="1:9" x14ac:dyDescent="0.3">
      <c r="A40" t="s">
        <v>138</v>
      </c>
      <c r="B40" t="s">
        <v>139</v>
      </c>
      <c r="C40" t="s">
        <v>140</v>
      </c>
      <c r="D40" t="s">
        <v>10</v>
      </c>
      <c r="E40" t="s">
        <v>11</v>
      </c>
      <c r="F40" t="s">
        <v>11</v>
      </c>
      <c r="G40" t="s">
        <v>12</v>
      </c>
      <c r="H40" t="str">
        <f>_xlfn.XLOOKUP(A40,'[1]Results export'!$F$2:$F$33,'[1]Results export'!$G$2:$G$33)</f>
        <v>disruptive user</v>
      </c>
      <c r="I40" t="str">
        <f>_xlfn.XLOOKUP(A40,'[1]Results export'!$F$2:$F$33,'[1]Results export'!$H$2:$H$33)</f>
        <v>2031-08-14 09:43:19</v>
      </c>
    </row>
    <row r="41" spans="1:9" x14ac:dyDescent="0.3">
      <c r="A41" t="s">
        <v>141</v>
      </c>
      <c r="B41" t="s">
        <v>142</v>
      </c>
      <c r="C41" t="s">
        <v>143</v>
      </c>
      <c r="D41" t="s">
        <v>10</v>
      </c>
      <c r="E41" t="s">
        <v>11</v>
      </c>
      <c r="F41" t="s">
        <v>11</v>
      </c>
      <c r="G41" t="s">
        <v>12</v>
      </c>
      <c r="H41" t="str">
        <f>_xlfn.XLOOKUP(A41,'[1]Results export'!$F$2:$F$33,'[1]Results export'!$G$2:$G$33)</f>
        <v>FTU placed over 100 disruptive orders</v>
      </c>
      <c r="I41" t="str">
        <f>_xlfn.XLOOKUP(A41,'[1]Results export'!$F$2:$F$33,'[1]Results export'!$H$2:$H$33)</f>
        <v>2031-08-10 10:29:23</v>
      </c>
    </row>
    <row r="42" spans="1:9" x14ac:dyDescent="0.3">
      <c r="A42" t="s">
        <v>144</v>
      </c>
      <c r="B42" t="s">
        <v>145</v>
      </c>
      <c r="C42" t="s">
        <v>146</v>
      </c>
      <c r="D42" t="s">
        <v>10</v>
      </c>
      <c r="E42" t="s">
        <v>11</v>
      </c>
      <c r="F42" t="s">
        <v>11</v>
      </c>
      <c r="G42" t="s">
        <v>12</v>
      </c>
      <c r="H42" t="str">
        <f>_xlfn.XLOOKUP(A42,'[1]Results export'!$F$2:$F$33,'[1]Results export'!$G$2:$G$33)</f>
        <v>FTU placed over 100 disruptive order</v>
      </c>
      <c r="I42" t="str">
        <f>_xlfn.XLOOKUP(A42,'[1]Results export'!$F$2:$F$33,'[1]Results export'!$H$2:$H$33)</f>
        <v>2031-08-15 10:07:41</v>
      </c>
    </row>
    <row r="43" spans="1:9" x14ac:dyDescent="0.3">
      <c r="A43" t="s">
        <v>147</v>
      </c>
      <c r="B43" t="s">
        <v>148</v>
      </c>
      <c r="C43" t="s">
        <v>149</v>
      </c>
      <c r="D43" t="s">
        <v>10</v>
      </c>
      <c r="E43" t="s">
        <v>11</v>
      </c>
      <c r="F43" t="s">
        <v>11</v>
      </c>
      <c r="G43" t="s">
        <v>12</v>
      </c>
      <c r="H43" t="str">
        <f>_xlfn.XLOOKUP(A43,'[1]Results export'!$F$2:$F$33,'[1]Results export'!$G$2:$G$33)</f>
        <v>Disruptive user, TX Phạm Minh Truyền 2852976 báo cáo Kh 43166702 đặt phá</v>
      </c>
      <c r="I43" t="str">
        <f>_xlfn.XLOOKUP(A43,'[1]Results export'!$F$2:$F$33,'[1]Results export'!$H$2:$H$33)</f>
        <v>2031-07-30 10:00:09</v>
      </c>
    </row>
  </sheetData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Wei Kc</cp:lastModifiedBy>
  <dcterms:created xsi:type="dcterms:W3CDTF">2026-09-10T06:39:03Z</dcterms:created>
  <dcterms:modified xsi:type="dcterms:W3CDTF">2026-09-25T01:19:26Z</dcterms:modified>
</cp:coreProperties>
</file>