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ei.kc\Desktop\Adhoc\03 Sept 2026\data\"/>
    </mc:Choice>
  </mc:AlternateContent>
  <xr:revisionPtr revIDLastSave="0" documentId="13_ncr:1_{880A5ADA-19F9-4D23-83F1-1E60B141C2CA}" xr6:coauthVersionLast="47" xr6:coauthVersionMax="47" xr10:uidLastSave="{00000000-0000-0000-0000-000000000000}"/>
  <bookViews>
    <workbookView xWindow="-108" yWindow="-108" windowWidth="23256" windowHeight="12456" tabRatio="737" activeTab="5" xr2:uid="{00000000-000D-0000-FFFF-FFFF00000000}"/>
  </bookViews>
  <sheets>
    <sheet name="account to check (July)" sheetId="1" r:id="rId1"/>
    <sheet name="account to check (Aug)" sheetId="2" r:id="rId2"/>
    <sheet name="data compile" sheetId="6" r:id="rId3"/>
    <sheet name="crosscheck" sheetId="3" r:id="rId4"/>
    <sheet name="16 Acct given" sheetId="4" r:id="rId5"/>
    <sheet name="final acct" sheetId="5" r:id="rId6"/>
    <sheet name="strat suggestion" sheetId="7" r:id="rId7"/>
  </sheets>
  <definedNames>
    <definedName name="_xlnm._FilterDatabase" localSheetId="3" hidden="1">crosscheck!$A$1:$C$54</definedName>
    <definedName name="_xlnm._FilterDatabase" localSheetId="5" hidden="1">'final acct'!$A$1:$O$42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C3" i="5"/>
  <c r="D3" i="5"/>
  <c r="E3" i="5"/>
  <c r="F3" i="5"/>
  <c r="G3" i="5"/>
  <c r="H3" i="5"/>
  <c r="I3" i="5"/>
  <c r="J3" i="5"/>
  <c r="K3" i="5"/>
  <c r="L3" i="5"/>
  <c r="M3" i="5"/>
  <c r="N3" i="5"/>
  <c r="O3" i="5"/>
  <c r="B4" i="5"/>
  <c r="C4" i="5"/>
  <c r="D4" i="5"/>
  <c r="E4" i="5"/>
  <c r="F4" i="5"/>
  <c r="G4" i="5"/>
  <c r="H4" i="5"/>
  <c r="I4" i="5"/>
  <c r="J4" i="5"/>
  <c r="K4" i="5"/>
  <c r="L4" i="5"/>
  <c r="M4" i="5"/>
  <c r="N4" i="5"/>
  <c r="O4" i="5"/>
  <c r="B5" i="5"/>
  <c r="C5" i="5"/>
  <c r="D5" i="5"/>
  <c r="E5" i="5"/>
  <c r="F5" i="5"/>
  <c r="G5" i="5"/>
  <c r="H5" i="5"/>
  <c r="I5" i="5"/>
  <c r="J5" i="5"/>
  <c r="K5" i="5"/>
  <c r="L5" i="5"/>
  <c r="M5" i="5"/>
  <c r="N5" i="5"/>
  <c r="O5" i="5"/>
  <c r="B6" i="5"/>
  <c r="C6" i="5"/>
  <c r="D6" i="5"/>
  <c r="E6" i="5"/>
  <c r="F6" i="5"/>
  <c r="G6" i="5"/>
  <c r="H6" i="5"/>
  <c r="I6" i="5"/>
  <c r="J6" i="5"/>
  <c r="K6" i="5"/>
  <c r="L6" i="5"/>
  <c r="M6" i="5"/>
  <c r="N6" i="5"/>
  <c r="O6" i="5"/>
  <c r="B7" i="5"/>
  <c r="C7" i="5"/>
  <c r="D7" i="5"/>
  <c r="E7" i="5"/>
  <c r="F7" i="5"/>
  <c r="G7" i="5"/>
  <c r="H7" i="5"/>
  <c r="I7" i="5"/>
  <c r="J7" i="5"/>
  <c r="K7" i="5"/>
  <c r="L7" i="5"/>
  <c r="M7" i="5"/>
  <c r="N7" i="5"/>
  <c r="O7" i="5"/>
  <c r="B8" i="5"/>
  <c r="C8" i="5"/>
  <c r="D8" i="5"/>
  <c r="E8" i="5"/>
  <c r="F8" i="5"/>
  <c r="G8" i="5"/>
  <c r="H8" i="5"/>
  <c r="I8" i="5"/>
  <c r="J8" i="5"/>
  <c r="K8" i="5"/>
  <c r="L8" i="5"/>
  <c r="M8" i="5"/>
  <c r="N8" i="5"/>
  <c r="O8" i="5"/>
  <c r="B9" i="5"/>
  <c r="C9" i="5"/>
  <c r="D9" i="5"/>
  <c r="E9" i="5"/>
  <c r="F9" i="5"/>
  <c r="G9" i="5"/>
  <c r="H9" i="5"/>
  <c r="I9" i="5"/>
  <c r="J9" i="5"/>
  <c r="K9" i="5"/>
  <c r="L9" i="5"/>
  <c r="M9" i="5"/>
  <c r="N9" i="5"/>
  <c r="O9" i="5"/>
  <c r="B10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B11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B12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B13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B14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B15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B16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B17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B19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B20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B21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B22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B23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B24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B25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B27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B28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B29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B30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B31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B32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B33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B34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B35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B36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B37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B38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B39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B40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B41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B42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O2" i="5"/>
  <c r="N2" i="5"/>
  <c r="M2" i="5"/>
  <c r="L2" i="5"/>
  <c r="K2" i="5"/>
  <c r="J2" i="5"/>
  <c r="I2" i="5"/>
  <c r="H2" i="5"/>
  <c r="G2" i="5"/>
  <c r="F2" i="5"/>
  <c r="E2" i="5"/>
  <c r="D2" i="5"/>
  <c r="C2" i="5"/>
  <c r="B2" i="5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2" i="3"/>
</calcChain>
</file>

<file path=xl/sharedStrings.xml><?xml version="1.0" encoding="utf-8"?>
<sst xmlns="http://schemas.openxmlformats.org/spreadsheetml/2006/main" count="419" uniqueCount="164">
  <si>
    <t>user_id</t>
  </si>
  <si>
    <t>First Order</t>
  </si>
  <si>
    <t>0s - &lt;30s</t>
  </si>
  <si>
    <t>30s - &lt;1m</t>
  </si>
  <si>
    <t>1m - &lt;5m</t>
  </si>
  <si>
    <t>5m - &lt;30m</t>
  </si>
  <si>
    <t>&gt;= 30m</t>
  </si>
  <si>
    <t>Total</t>
  </si>
  <si>
    <t>0s - &lt;30s (&gt;50%)</t>
  </si>
  <si>
    <t>Rolling 1h Flags</t>
  </si>
  <si>
    <t>Lifetime Create Cnt</t>
  </si>
  <si>
    <t>Lifetime Complete Cnt</t>
  </si>
  <si>
    <t>Lifetime Cancel Cnt</t>
  </si>
  <si>
    <t>Completion Rate</t>
  </si>
  <si>
    <t>Cancellation Rate</t>
  </si>
  <si>
    <t>51.35%</t>
  </si>
  <si>
    <t>2.7%</t>
  </si>
  <si>
    <t>21.62%</t>
  </si>
  <si>
    <t>74.78%</t>
  </si>
  <si>
    <t>0.0%</t>
  </si>
  <si>
    <t>9.57%</t>
  </si>
  <si>
    <t>70.23%</t>
  </si>
  <si>
    <t>14.5%</t>
  </si>
  <si>
    <t>62.75%</t>
  </si>
  <si>
    <t>26.96%</t>
  </si>
  <si>
    <t>82.79%</t>
  </si>
  <si>
    <t>13.49%</t>
  </si>
  <si>
    <t>84.62%</t>
  </si>
  <si>
    <t>3.85%</t>
  </si>
  <si>
    <t>52.17%</t>
  </si>
  <si>
    <t>26.09%</t>
  </si>
  <si>
    <t>95.92%</t>
  </si>
  <si>
    <t>8.16%</t>
  </si>
  <si>
    <t>71.43%</t>
  </si>
  <si>
    <t>16.88%</t>
  </si>
  <si>
    <t>54.41%</t>
  </si>
  <si>
    <t>51.47%</t>
  </si>
  <si>
    <t>76.92%</t>
  </si>
  <si>
    <t>7.69%</t>
  </si>
  <si>
    <t>85.27%</t>
  </si>
  <si>
    <t>15.01%</t>
  </si>
  <si>
    <t>91.67%</t>
  </si>
  <si>
    <t>47.37%</t>
  </si>
  <si>
    <t>87.69%</t>
  </si>
  <si>
    <t>0.77%</t>
  </si>
  <si>
    <t>13.85%</t>
  </si>
  <si>
    <t>56.41%</t>
  </si>
  <si>
    <t>1.54%</t>
  </si>
  <si>
    <t>10.26%</t>
  </si>
  <si>
    <t>83.08%</t>
  </si>
  <si>
    <t>0.5%</t>
  </si>
  <si>
    <t>7.46%</t>
  </si>
  <si>
    <t>61.24%</t>
  </si>
  <si>
    <t>0.48%</t>
  </si>
  <si>
    <t>11.48%</t>
  </si>
  <si>
    <t>72.59%</t>
  </si>
  <si>
    <t>15.56%</t>
  </si>
  <si>
    <t>79.13%</t>
  </si>
  <si>
    <t>0.87%</t>
  </si>
  <si>
    <t>14.78%</t>
  </si>
  <si>
    <t>75.51%</t>
  </si>
  <si>
    <t>0.51%</t>
  </si>
  <si>
    <t>12.76%</t>
  </si>
  <si>
    <t>77.27%</t>
  </si>
  <si>
    <t>1.52%</t>
  </si>
  <si>
    <t>9.09%</t>
  </si>
  <si>
    <t>75.13%</t>
  </si>
  <si>
    <t>8.63%</t>
  </si>
  <si>
    <t>69.09%</t>
  </si>
  <si>
    <t>0.61%</t>
  </si>
  <si>
    <t>21.21%</t>
  </si>
  <si>
    <t>54.48%</t>
  </si>
  <si>
    <t>0.75%</t>
  </si>
  <si>
    <t>17.91%</t>
  </si>
  <si>
    <t>72.27%</t>
  </si>
  <si>
    <t>0.84%</t>
  </si>
  <si>
    <t>15.13%</t>
  </si>
  <si>
    <t>65.81%</t>
  </si>
  <si>
    <t>16.13%</t>
  </si>
  <si>
    <t>63.69%</t>
  </si>
  <si>
    <t>0.6%</t>
  </si>
  <si>
    <t>8.93%</t>
  </si>
  <si>
    <t>51.74%</t>
  </si>
  <si>
    <t>70.0%</t>
  </si>
  <si>
    <t>41.54%</t>
  </si>
  <si>
    <t>66.17%</t>
  </si>
  <si>
    <t>22.56%</t>
  </si>
  <si>
    <t>62.38%</t>
  </si>
  <si>
    <t>5.94%</t>
  </si>
  <si>
    <t>80.16%</t>
  </si>
  <si>
    <t>12.7%</t>
  </si>
  <si>
    <t>76.25%</t>
  </si>
  <si>
    <t>10.0%</t>
  </si>
  <si>
    <t>73.85%</t>
  </si>
  <si>
    <t>3.08%</t>
  </si>
  <si>
    <t>70.75%</t>
  </si>
  <si>
    <t>5.66%</t>
  </si>
  <si>
    <t>82.05%</t>
  </si>
  <si>
    <t>0.85%</t>
  </si>
  <si>
    <t>4.27%</t>
  </si>
  <si>
    <t>81.25%</t>
  </si>
  <si>
    <t>1.39%</t>
  </si>
  <si>
    <t>3.47%</t>
  </si>
  <si>
    <t>78.57%</t>
  </si>
  <si>
    <t>7.86%</t>
  </si>
  <si>
    <t>76.43%</t>
  </si>
  <si>
    <t>0.71%</t>
  </si>
  <si>
    <t>77.6%</t>
  </si>
  <si>
    <t>6.4%</t>
  </si>
  <si>
    <t>72.34%</t>
  </si>
  <si>
    <t>1.06%</t>
  </si>
  <si>
    <t>12.77%</t>
  </si>
  <si>
    <t>83.17%</t>
  </si>
  <si>
    <t>0.99%</t>
  </si>
  <si>
    <t>78.81%</t>
  </si>
  <si>
    <t>5.93%</t>
  </si>
  <si>
    <t>73.73%</t>
  </si>
  <si>
    <t>2.54%</t>
  </si>
  <si>
    <t>64.95%</t>
  </si>
  <si>
    <t>5.15%</t>
  </si>
  <si>
    <t>86.21%</t>
  </si>
  <si>
    <t>1.72%</t>
  </si>
  <si>
    <t>5.17%</t>
  </si>
  <si>
    <t>64.81%</t>
  </si>
  <si>
    <t>14.81%</t>
  </si>
  <si>
    <t>0.69%</t>
  </si>
  <si>
    <t>6.94%</t>
  </si>
  <si>
    <t>71.9%</t>
  </si>
  <si>
    <t>0.83%</t>
  </si>
  <si>
    <t>3.31%</t>
  </si>
  <si>
    <t>76.19%</t>
  </si>
  <si>
    <t>6.35%</t>
  </si>
  <si>
    <t>71.82%</t>
  </si>
  <si>
    <t>4.55%</t>
  </si>
  <si>
    <t>74.71%</t>
  </si>
  <si>
    <t>13.79%</t>
  </si>
  <si>
    <t>60.19%</t>
  </si>
  <si>
    <t>4.85%</t>
  </si>
  <si>
    <t>check with previous simulation</t>
  </si>
  <si>
    <t>UID</t>
  </si>
  <si>
    <t>check with 16 acct</t>
  </si>
  <si>
    <t>user_id (prev simulation)</t>
  </si>
  <si>
    <t>Suggestion:</t>
  </si>
  <si>
    <t>Parameter</t>
  </si>
  <si>
    <t>Rule Threshold/Value</t>
  </si>
  <si>
    <t>Analysis period</t>
  </si>
  <si>
    <t>July &amp; Aug 2026</t>
  </si>
  <si>
    <t>Order creation lag</t>
  </si>
  <si>
    <t>&lt; 30 seconds</t>
  </si>
  <si>
    <t>High frequency volume share</t>
  </si>
  <si>
    <t>&gt; 50% of total orders</t>
  </si>
  <si>
    <t>Evaluation window</t>
  </si>
  <si>
    <t>1-hour rolling window (3600 seconds)</t>
  </si>
  <si>
    <t>Completion rate</t>
  </si>
  <si>
    <t>&lt; 50% of total order</t>
  </si>
  <si>
    <t>Flagging criteria</t>
  </si>
  <si>
    <t>&gt; 5 high-frequency orders</t>
  </si>
  <si>
    <t>Enforcement trigger</t>
  </si>
  <si>
    <t>Rolling 1hour flag &gt; 3</t>
  </si>
  <si>
    <t>Action Taken</t>
  </si>
  <si>
    <t>Forbid cash order or order placing block</t>
  </si>
  <si>
    <t>Simulation criteria:</t>
  </si>
  <si>
    <t>19.83%</t>
  </si>
  <si>
    <t>49.81%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</si>
</sst>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F3F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/>
      <top style="thin">
        <color rgb="FFDEE0E3"/>
      </top>
      <bottom style="thin">
        <color rgb="FF1F2329"/>
      </bottom>
      <diagonal/>
    </border>
    <border>
      <left/>
      <right style="thin">
        <color rgb="FFDEE0E3"/>
      </right>
      <top style="thin">
        <color rgb="FFDEE0E3"/>
      </top>
      <bottom style="thin">
        <color rgb="FF1F232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3" fillId="2" borderId="2" xfId="0" applyFont="1" applyFill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6" xfId="0" applyFont="1" applyFill="1" applyBorder="1"/>
    <xf numFmtId="0" fontId="3" fillId="4" borderId="3" xfId="0" applyFont="1" applyFill="1" applyBorder="1"/>
    <xf numFmtId="0" fontId="3" fillId="4" borderId="4" xfId="0" applyFont="1" applyFill="1" applyBorder="1"/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"/>
  <sheetViews>
    <sheetView topLeftCell="A2" workbookViewId="0">
      <selection activeCell="A2" sqref="A2:O28"/>
    </sheetView>
  </sheetViews>
  <sheetFormatPr defaultRowHeight="14.4" x14ac:dyDescent="0.3"/>
  <cols>
    <col min="1" max="1" width="9" bestFit="1" customWidth="1"/>
    <col min="2" max="2" width="9.5546875" bestFit="1" customWidth="1"/>
    <col min="3" max="3" width="8.109375" bestFit="1" customWidth="1"/>
    <col min="5" max="5" width="8.6640625" bestFit="1" customWidth="1"/>
    <col min="6" max="6" width="9.6640625" bestFit="1" customWidth="1"/>
    <col min="7" max="7" width="7" bestFit="1" customWidth="1"/>
    <col min="8" max="8" width="5.21875" bestFit="1" customWidth="1"/>
    <col min="9" max="9" width="14.21875" bestFit="1" customWidth="1"/>
    <col min="10" max="10" width="13.44140625" bestFit="1" customWidth="1"/>
    <col min="11" max="11" width="16.88671875" bestFit="1" customWidth="1"/>
    <col min="12" max="12" width="19.44140625" bestFit="1" customWidth="1"/>
    <col min="13" max="13" width="16.88671875" bestFit="1" customWidth="1"/>
    <col min="14" max="14" width="14.77734375" bestFit="1" customWidth="1"/>
    <col min="15" max="15" width="15.441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42372845</v>
      </c>
      <c r="B2">
        <v>1</v>
      </c>
      <c r="C2">
        <v>19</v>
      </c>
      <c r="D2">
        <v>10</v>
      </c>
      <c r="E2">
        <v>7</v>
      </c>
      <c r="F2">
        <v>0</v>
      </c>
      <c r="G2">
        <v>0</v>
      </c>
      <c r="H2">
        <v>37</v>
      </c>
      <c r="I2" t="s">
        <v>15</v>
      </c>
      <c r="J2">
        <v>14</v>
      </c>
      <c r="K2">
        <v>37</v>
      </c>
      <c r="L2">
        <v>1</v>
      </c>
      <c r="M2">
        <v>8</v>
      </c>
      <c r="N2" t="s">
        <v>16</v>
      </c>
      <c r="O2" t="s">
        <v>17</v>
      </c>
    </row>
    <row r="3" spans="1:15" x14ac:dyDescent="0.3">
      <c r="A3">
        <v>42381392</v>
      </c>
      <c r="B3">
        <v>1</v>
      </c>
      <c r="C3">
        <v>86</v>
      </c>
      <c r="D3">
        <v>21</v>
      </c>
      <c r="E3">
        <v>6</v>
      </c>
      <c r="F3">
        <v>0</v>
      </c>
      <c r="G3">
        <v>1</v>
      </c>
      <c r="H3">
        <v>115</v>
      </c>
      <c r="I3" t="s">
        <v>18</v>
      </c>
      <c r="J3">
        <v>58</v>
      </c>
      <c r="K3">
        <v>115</v>
      </c>
      <c r="L3">
        <v>0</v>
      </c>
      <c r="M3">
        <v>11</v>
      </c>
      <c r="N3" t="s">
        <v>19</v>
      </c>
      <c r="O3" t="s">
        <v>20</v>
      </c>
    </row>
    <row r="4" spans="1:15" x14ac:dyDescent="0.3">
      <c r="A4">
        <v>42406507</v>
      </c>
      <c r="B4">
        <v>1</v>
      </c>
      <c r="C4">
        <v>184</v>
      </c>
      <c r="D4">
        <v>46</v>
      </c>
      <c r="E4">
        <v>27</v>
      </c>
      <c r="F4">
        <v>1</v>
      </c>
      <c r="G4">
        <v>3</v>
      </c>
      <c r="H4">
        <v>262</v>
      </c>
      <c r="I4" t="s">
        <v>21</v>
      </c>
      <c r="J4">
        <v>66</v>
      </c>
      <c r="K4">
        <v>262</v>
      </c>
      <c r="L4">
        <v>0</v>
      </c>
      <c r="M4">
        <v>38</v>
      </c>
      <c r="N4" t="s">
        <v>19</v>
      </c>
      <c r="O4" t="s">
        <v>22</v>
      </c>
    </row>
    <row r="5" spans="1:15" x14ac:dyDescent="0.3">
      <c r="A5">
        <v>42426592</v>
      </c>
      <c r="B5">
        <v>1</v>
      </c>
      <c r="C5">
        <v>128</v>
      </c>
      <c r="D5">
        <v>54</v>
      </c>
      <c r="E5">
        <v>19</v>
      </c>
      <c r="F5">
        <v>1</v>
      </c>
      <c r="G5">
        <v>1</v>
      </c>
      <c r="H5">
        <v>204</v>
      </c>
      <c r="I5" t="s">
        <v>23</v>
      </c>
      <c r="J5">
        <v>70</v>
      </c>
      <c r="K5">
        <v>204</v>
      </c>
      <c r="L5">
        <v>0</v>
      </c>
      <c r="M5">
        <v>55</v>
      </c>
      <c r="N5" t="s">
        <v>19</v>
      </c>
      <c r="O5" t="s">
        <v>24</v>
      </c>
    </row>
    <row r="6" spans="1:15" x14ac:dyDescent="0.3">
      <c r="A6">
        <v>42426641</v>
      </c>
      <c r="B6">
        <v>1</v>
      </c>
      <c r="C6">
        <v>178</v>
      </c>
      <c r="D6">
        <v>25</v>
      </c>
      <c r="E6">
        <v>8</v>
      </c>
      <c r="F6">
        <v>2</v>
      </c>
      <c r="G6">
        <v>1</v>
      </c>
      <c r="H6">
        <v>215</v>
      </c>
      <c r="I6" t="s">
        <v>25</v>
      </c>
      <c r="J6">
        <v>125</v>
      </c>
      <c r="K6">
        <v>215</v>
      </c>
      <c r="L6">
        <v>0</v>
      </c>
      <c r="M6">
        <v>29</v>
      </c>
      <c r="N6" t="s">
        <v>19</v>
      </c>
      <c r="O6" t="s">
        <v>26</v>
      </c>
    </row>
    <row r="7" spans="1:15" x14ac:dyDescent="0.3">
      <c r="A7">
        <v>42458992</v>
      </c>
      <c r="B7">
        <v>1</v>
      </c>
      <c r="C7">
        <v>22</v>
      </c>
      <c r="D7">
        <v>2</v>
      </c>
      <c r="E7">
        <v>1</v>
      </c>
      <c r="F7">
        <v>0</v>
      </c>
      <c r="G7">
        <v>0</v>
      </c>
      <c r="H7">
        <v>26</v>
      </c>
      <c r="I7" t="s">
        <v>27</v>
      </c>
      <c r="J7">
        <v>17</v>
      </c>
      <c r="K7">
        <v>26</v>
      </c>
      <c r="L7">
        <v>0</v>
      </c>
      <c r="M7">
        <v>1</v>
      </c>
      <c r="N7" t="s">
        <v>19</v>
      </c>
      <c r="O7" t="s">
        <v>28</v>
      </c>
    </row>
    <row r="8" spans="1:15" x14ac:dyDescent="0.3">
      <c r="A8">
        <v>42459041</v>
      </c>
      <c r="B8">
        <v>1</v>
      </c>
      <c r="C8">
        <v>12</v>
      </c>
      <c r="D8">
        <v>8</v>
      </c>
      <c r="E8">
        <v>2</v>
      </c>
      <c r="F8">
        <v>0</v>
      </c>
      <c r="G8">
        <v>0</v>
      </c>
      <c r="H8">
        <v>23</v>
      </c>
      <c r="I8" t="s">
        <v>29</v>
      </c>
      <c r="J8">
        <v>7</v>
      </c>
      <c r="K8">
        <v>23</v>
      </c>
      <c r="L8">
        <v>0</v>
      </c>
      <c r="M8">
        <v>6</v>
      </c>
      <c r="N8" t="s">
        <v>19</v>
      </c>
      <c r="O8" t="s">
        <v>30</v>
      </c>
    </row>
    <row r="9" spans="1:15" x14ac:dyDescent="0.3">
      <c r="A9">
        <v>42459099</v>
      </c>
      <c r="B9">
        <v>1</v>
      </c>
      <c r="C9">
        <v>47</v>
      </c>
      <c r="D9">
        <v>0</v>
      </c>
      <c r="E9">
        <v>0</v>
      </c>
      <c r="F9">
        <v>0</v>
      </c>
      <c r="G9">
        <v>1</v>
      </c>
      <c r="H9">
        <v>49</v>
      </c>
      <c r="I9" t="s">
        <v>31</v>
      </c>
      <c r="J9">
        <v>19</v>
      </c>
      <c r="K9">
        <v>49</v>
      </c>
      <c r="L9">
        <v>0</v>
      </c>
      <c r="M9">
        <v>4</v>
      </c>
      <c r="N9" t="s">
        <v>19</v>
      </c>
      <c r="O9" t="s">
        <v>32</v>
      </c>
    </row>
    <row r="10" spans="1:15" x14ac:dyDescent="0.3">
      <c r="A10">
        <v>42459206</v>
      </c>
      <c r="B10">
        <v>1</v>
      </c>
      <c r="C10">
        <v>55</v>
      </c>
      <c r="D10">
        <v>17</v>
      </c>
      <c r="E10">
        <v>2</v>
      </c>
      <c r="F10">
        <v>0</v>
      </c>
      <c r="G10">
        <v>2</v>
      </c>
      <c r="H10">
        <v>77</v>
      </c>
      <c r="I10" t="s">
        <v>33</v>
      </c>
      <c r="J10">
        <v>16</v>
      </c>
      <c r="K10">
        <v>77</v>
      </c>
      <c r="L10">
        <v>0</v>
      </c>
      <c r="M10">
        <v>13</v>
      </c>
      <c r="N10" t="s">
        <v>19</v>
      </c>
      <c r="O10" t="s">
        <v>34</v>
      </c>
    </row>
    <row r="11" spans="1:15" x14ac:dyDescent="0.3">
      <c r="A11">
        <v>42459241</v>
      </c>
      <c r="B11">
        <v>1</v>
      </c>
      <c r="C11">
        <v>37</v>
      </c>
      <c r="D11">
        <v>22</v>
      </c>
      <c r="E11">
        <v>6</v>
      </c>
      <c r="F11">
        <v>0</v>
      </c>
      <c r="G11">
        <v>2</v>
      </c>
      <c r="H11">
        <v>68</v>
      </c>
      <c r="I11" t="s">
        <v>35</v>
      </c>
      <c r="J11">
        <v>18</v>
      </c>
      <c r="K11">
        <v>68</v>
      </c>
      <c r="L11">
        <v>0</v>
      </c>
      <c r="M11">
        <v>35</v>
      </c>
      <c r="N11" t="s">
        <v>19</v>
      </c>
      <c r="O11" t="s">
        <v>36</v>
      </c>
    </row>
    <row r="12" spans="1:15" x14ac:dyDescent="0.3">
      <c r="A12">
        <v>42459298</v>
      </c>
      <c r="B12">
        <v>1</v>
      </c>
      <c r="C12">
        <v>20</v>
      </c>
      <c r="D12">
        <v>3</v>
      </c>
      <c r="E12">
        <v>1</v>
      </c>
      <c r="F12">
        <v>0</v>
      </c>
      <c r="G12">
        <v>1</v>
      </c>
      <c r="H12">
        <v>26</v>
      </c>
      <c r="I12" t="s">
        <v>37</v>
      </c>
      <c r="J12">
        <v>15</v>
      </c>
      <c r="K12">
        <v>26</v>
      </c>
      <c r="L12">
        <v>0</v>
      </c>
      <c r="M12">
        <v>2</v>
      </c>
      <c r="N12" t="s">
        <v>19</v>
      </c>
      <c r="O12" t="s">
        <v>38</v>
      </c>
    </row>
    <row r="13" spans="1:15" x14ac:dyDescent="0.3">
      <c r="A13">
        <v>42463024</v>
      </c>
      <c r="B13">
        <v>1</v>
      </c>
      <c r="C13">
        <v>301</v>
      </c>
      <c r="D13">
        <v>31</v>
      </c>
      <c r="E13">
        <v>11</v>
      </c>
      <c r="F13">
        <v>4</v>
      </c>
      <c r="G13">
        <v>5</v>
      </c>
      <c r="H13">
        <v>353</v>
      </c>
      <c r="I13" t="s">
        <v>39</v>
      </c>
      <c r="J13">
        <v>103</v>
      </c>
      <c r="K13">
        <v>353</v>
      </c>
      <c r="L13">
        <v>0</v>
      </c>
      <c r="M13">
        <v>53</v>
      </c>
      <c r="N13" t="s">
        <v>19</v>
      </c>
      <c r="O13" t="s">
        <v>40</v>
      </c>
    </row>
    <row r="14" spans="1:15" x14ac:dyDescent="0.3">
      <c r="A14">
        <v>42463063</v>
      </c>
      <c r="B14">
        <v>1</v>
      </c>
      <c r="C14">
        <v>209</v>
      </c>
      <c r="D14">
        <v>8</v>
      </c>
      <c r="E14">
        <v>7</v>
      </c>
      <c r="F14">
        <v>1</v>
      </c>
      <c r="G14">
        <v>2</v>
      </c>
      <c r="H14">
        <v>228</v>
      </c>
      <c r="I14" t="s">
        <v>41</v>
      </c>
      <c r="J14">
        <v>100</v>
      </c>
      <c r="K14">
        <v>228</v>
      </c>
      <c r="L14">
        <v>0</v>
      </c>
      <c r="M14">
        <v>108</v>
      </c>
      <c r="N14" t="s">
        <v>19</v>
      </c>
      <c r="O14" t="s">
        <v>42</v>
      </c>
    </row>
    <row r="15" spans="1:15" x14ac:dyDescent="0.3">
      <c r="A15">
        <v>42598944</v>
      </c>
      <c r="B15">
        <v>1</v>
      </c>
      <c r="C15">
        <v>114</v>
      </c>
      <c r="D15">
        <v>7</v>
      </c>
      <c r="E15">
        <v>7</v>
      </c>
      <c r="F15">
        <v>0</v>
      </c>
      <c r="G15">
        <v>1</v>
      </c>
      <c r="H15">
        <v>130</v>
      </c>
      <c r="I15" t="s">
        <v>43</v>
      </c>
      <c r="J15">
        <v>109</v>
      </c>
      <c r="K15">
        <v>130</v>
      </c>
      <c r="L15">
        <v>1</v>
      </c>
      <c r="M15">
        <v>18</v>
      </c>
      <c r="N15" t="s">
        <v>44</v>
      </c>
      <c r="O15" t="s">
        <v>45</v>
      </c>
    </row>
    <row r="16" spans="1:15" x14ac:dyDescent="0.3">
      <c r="A16">
        <v>42705635</v>
      </c>
      <c r="B16">
        <v>1</v>
      </c>
      <c r="C16">
        <v>110</v>
      </c>
      <c r="D16">
        <v>60</v>
      </c>
      <c r="E16">
        <v>21</v>
      </c>
      <c r="F16">
        <v>2</v>
      </c>
      <c r="G16">
        <v>1</v>
      </c>
      <c r="H16">
        <v>195</v>
      </c>
      <c r="I16" t="s">
        <v>46</v>
      </c>
      <c r="J16">
        <v>65</v>
      </c>
      <c r="K16">
        <v>195</v>
      </c>
      <c r="L16">
        <v>3</v>
      </c>
      <c r="M16">
        <v>20</v>
      </c>
      <c r="N16" t="s">
        <v>47</v>
      </c>
      <c r="O16" t="s">
        <v>48</v>
      </c>
    </row>
    <row r="17" spans="1:15" x14ac:dyDescent="0.3">
      <c r="A17">
        <v>42731028</v>
      </c>
      <c r="B17">
        <v>1</v>
      </c>
      <c r="C17">
        <v>167</v>
      </c>
      <c r="D17">
        <v>20</v>
      </c>
      <c r="E17">
        <v>12</v>
      </c>
      <c r="F17">
        <v>1</v>
      </c>
      <c r="G17">
        <v>0</v>
      </c>
      <c r="H17">
        <v>201</v>
      </c>
      <c r="I17" t="s">
        <v>49</v>
      </c>
      <c r="J17">
        <v>99</v>
      </c>
      <c r="K17">
        <v>201</v>
      </c>
      <c r="L17">
        <v>1</v>
      </c>
      <c r="M17">
        <v>15</v>
      </c>
      <c r="N17" t="s">
        <v>50</v>
      </c>
      <c r="O17" t="s">
        <v>51</v>
      </c>
    </row>
    <row r="18" spans="1:15" x14ac:dyDescent="0.3">
      <c r="A18">
        <v>42758642</v>
      </c>
      <c r="B18">
        <v>1</v>
      </c>
      <c r="C18">
        <v>128</v>
      </c>
      <c r="D18">
        <v>56</v>
      </c>
      <c r="E18">
        <v>22</v>
      </c>
      <c r="F18">
        <v>0</v>
      </c>
      <c r="G18">
        <v>2</v>
      </c>
      <c r="H18">
        <v>209</v>
      </c>
      <c r="I18" t="s">
        <v>52</v>
      </c>
      <c r="J18">
        <v>67</v>
      </c>
      <c r="K18">
        <v>209</v>
      </c>
      <c r="L18">
        <v>1</v>
      </c>
      <c r="M18">
        <v>24</v>
      </c>
      <c r="N18" t="s">
        <v>53</v>
      </c>
      <c r="O18" t="s">
        <v>54</v>
      </c>
    </row>
    <row r="19" spans="1:15" x14ac:dyDescent="0.3">
      <c r="A19">
        <v>42787717</v>
      </c>
      <c r="B19">
        <v>1</v>
      </c>
      <c r="C19">
        <v>98</v>
      </c>
      <c r="D19">
        <v>20</v>
      </c>
      <c r="E19">
        <v>15</v>
      </c>
      <c r="F19">
        <v>1</v>
      </c>
      <c r="G19">
        <v>0</v>
      </c>
      <c r="H19">
        <v>135</v>
      </c>
      <c r="I19" t="s">
        <v>55</v>
      </c>
      <c r="J19">
        <v>82</v>
      </c>
      <c r="K19">
        <v>135</v>
      </c>
      <c r="L19">
        <v>0</v>
      </c>
      <c r="M19">
        <v>21</v>
      </c>
      <c r="N19" t="s">
        <v>19</v>
      </c>
      <c r="O19" t="s">
        <v>56</v>
      </c>
    </row>
    <row r="20" spans="1:15" x14ac:dyDescent="0.3">
      <c r="A20">
        <v>42814075</v>
      </c>
      <c r="B20">
        <v>1</v>
      </c>
      <c r="C20">
        <v>91</v>
      </c>
      <c r="D20">
        <v>17</v>
      </c>
      <c r="E20">
        <v>6</v>
      </c>
      <c r="F20">
        <v>0</v>
      </c>
      <c r="G20">
        <v>0</v>
      </c>
      <c r="H20">
        <v>115</v>
      </c>
      <c r="I20" t="s">
        <v>57</v>
      </c>
      <c r="J20">
        <v>86</v>
      </c>
      <c r="K20">
        <v>115</v>
      </c>
      <c r="L20">
        <v>1</v>
      </c>
      <c r="M20">
        <v>17</v>
      </c>
      <c r="N20" t="s">
        <v>58</v>
      </c>
      <c r="O20" t="s">
        <v>59</v>
      </c>
    </row>
    <row r="21" spans="1:15" x14ac:dyDescent="0.3">
      <c r="A21">
        <v>42913719</v>
      </c>
      <c r="B21">
        <v>1</v>
      </c>
      <c r="C21">
        <v>148</v>
      </c>
      <c r="D21">
        <v>36</v>
      </c>
      <c r="E21">
        <v>10</v>
      </c>
      <c r="F21">
        <v>0</v>
      </c>
      <c r="G21">
        <v>1</v>
      </c>
      <c r="H21">
        <v>196</v>
      </c>
      <c r="I21" t="s">
        <v>60</v>
      </c>
      <c r="J21">
        <v>142</v>
      </c>
      <c r="K21">
        <v>196</v>
      </c>
      <c r="L21">
        <v>1</v>
      </c>
      <c r="M21">
        <v>25</v>
      </c>
      <c r="N21" t="s">
        <v>61</v>
      </c>
      <c r="O21" t="s">
        <v>62</v>
      </c>
    </row>
    <row r="22" spans="1:15" x14ac:dyDescent="0.3">
      <c r="A22">
        <v>42971568</v>
      </c>
      <c r="B22">
        <v>1</v>
      </c>
      <c r="C22">
        <v>102</v>
      </c>
      <c r="D22">
        <v>23</v>
      </c>
      <c r="E22">
        <v>6</v>
      </c>
      <c r="F22">
        <v>0</v>
      </c>
      <c r="G22">
        <v>0</v>
      </c>
      <c r="H22">
        <v>132</v>
      </c>
      <c r="I22" t="s">
        <v>63</v>
      </c>
      <c r="J22">
        <v>97</v>
      </c>
      <c r="K22">
        <v>132</v>
      </c>
      <c r="L22">
        <v>2</v>
      </c>
      <c r="M22">
        <v>12</v>
      </c>
      <c r="N22" t="s">
        <v>64</v>
      </c>
      <c r="O22" t="s">
        <v>65</v>
      </c>
    </row>
    <row r="23" spans="1:15" x14ac:dyDescent="0.3">
      <c r="A23">
        <v>42997602</v>
      </c>
      <c r="B23">
        <v>1</v>
      </c>
      <c r="C23">
        <v>148</v>
      </c>
      <c r="D23">
        <v>33</v>
      </c>
      <c r="E23">
        <v>13</v>
      </c>
      <c r="F23">
        <v>2</v>
      </c>
      <c r="G23">
        <v>0</v>
      </c>
      <c r="H23">
        <v>197</v>
      </c>
      <c r="I23" t="s">
        <v>66</v>
      </c>
      <c r="J23">
        <v>97</v>
      </c>
      <c r="K23">
        <v>197</v>
      </c>
      <c r="L23">
        <v>1</v>
      </c>
      <c r="M23">
        <v>17</v>
      </c>
      <c r="N23" t="s">
        <v>61</v>
      </c>
      <c r="O23" t="s">
        <v>67</v>
      </c>
    </row>
    <row r="24" spans="1:15" x14ac:dyDescent="0.3">
      <c r="A24">
        <v>43022614</v>
      </c>
      <c r="B24">
        <v>1</v>
      </c>
      <c r="C24">
        <v>114</v>
      </c>
      <c r="D24">
        <v>31</v>
      </c>
      <c r="E24">
        <v>18</v>
      </c>
      <c r="F24">
        <v>0</v>
      </c>
      <c r="G24">
        <v>1</v>
      </c>
      <c r="H24">
        <v>165</v>
      </c>
      <c r="I24" t="s">
        <v>68</v>
      </c>
      <c r="J24">
        <v>109</v>
      </c>
      <c r="K24">
        <v>165</v>
      </c>
      <c r="L24">
        <v>1</v>
      </c>
      <c r="M24">
        <v>35</v>
      </c>
      <c r="N24" t="s">
        <v>69</v>
      </c>
      <c r="O24" t="s">
        <v>70</v>
      </c>
    </row>
    <row r="25" spans="1:15" x14ac:dyDescent="0.3">
      <c r="A25">
        <v>43081554</v>
      </c>
      <c r="B25">
        <v>1</v>
      </c>
      <c r="C25">
        <v>73</v>
      </c>
      <c r="D25">
        <v>40</v>
      </c>
      <c r="E25">
        <v>20</v>
      </c>
      <c r="F25">
        <v>0</v>
      </c>
      <c r="G25">
        <v>0</v>
      </c>
      <c r="H25">
        <v>134</v>
      </c>
      <c r="I25" t="s">
        <v>71</v>
      </c>
      <c r="J25">
        <v>66</v>
      </c>
      <c r="K25">
        <v>134</v>
      </c>
      <c r="L25">
        <v>1</v>
      </c>
      <c r="M25">
        <v>24</v>
      </c>
      <c r="N25" t="s">
        <v>72</v>
      </c>
      <c r="O25" t="s">
        <v>73</v>
      </c>
    </row>
    <row r="26" spans="1:15" x14ac:dyDescent="0.3">
      <c r="A26">
        <v>43110506</v>
      </c>
      <c r="B26">
        <v>1</v>
      </c>
      <c r="C26">
        <v>86</v>
      </c>
      <c r="D26">
        <v>22</v>
      </c>
      <c r="E26">
        <v>8</v>
      </c>
      <c r="F26">
        <v>2</v>
      </c>
      <c r="G26">
        <v>0</v>
      </c>
      <c r="H26">
        <v>119</v>
      </c>
      <c r="I26" t="s">
        <v>74</v>
      </c>
      <c r="J26">
        <v>81</v>
      </c>
      <c r="K26">
        <v>119</v>
      </c>
      <c r="L26">
        <v>1</v>
      </c>
      <c r="M26">
        <v>18</v>
      </c>
      <c r="N26" t="s">
        <v>75</v>
      </c>
      <c r="O26" t="s">
        <v>76</v>
      </c>
    </row>
    <row r="27" spans="1:15" x14ac:dyDescent="0.3">
      <c r="A27">
        <v>43138108</v>
      </c>
      <c r="B27">
        <v>1</v>
      </c>
      <c r="C27">
        <v>102</v>
      </c>
      <c r="D27">
        <v>38</v>
      </c>
      <c r="E27">
        <v>12</v>
      </c>
      <c r="F27">
        <v>2</v>
      </c>
      <c r="G27">
        <v>0</v>
      </c>
      <c r="H27">
        <v>155</v>
      </c>
      <c r="I27" t="s">
        <v>77</v>
      </c>
      <c r="J27">
        <v>76</v>
      </c>
      <c r="K27">
        <v>155</v>
      </c>
      <c r="L27">
        <v>0</v>
      </c>
      <c r="M27">
        <v>25</v>
      </c>
      <c r="N27" t="s">
        <v>19</v>
      </c>
      <c r="O27" t="s">
        <v>78</v>
      </c>
    </row>
    <row r="28" spans="1:15" x14ac:dyDescent="0.3">
      <c r="A28">
        <v>43166702</v>
      </c>
      <c r="B28">
        <v>1</v>
      </c>
      <c r="C28">
        <v>107</v>
      </c>
      <c r="D28">
        <v>47</v>
      </c>
      <c r="E28">
        <v>11</v>
      </c>
      <c r="F28">
        <v>2</v>
      </c>
      <c r="G28">
        <v>0</v>
      </c>
      <c r="H28">
        <v>168</v>
      </c>
      <c r="I28" t="s">
        <v>79</v>
      </c>
      <c r="J28">
        <v>81</v>
      </c>
      <c r="K28">
        <v>168</v>
      </c>
      <c r="L28">
        <v>1</v>
      </c>
      <c r="M28">
        <v>15</v>
      </c>
      <c r="N28" t="s">
        <v>80</v>
      </c>
      <c r="O28" t="s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7"/>
  <sheetViews>
    <sheetView workbookViewId="0"/>
  </sheetViews>
  <sheetFormatPr defaultRowHeight="14.4" x14ac:dyDescent="0.3"/>
  <cols>
    <col min="1" max="1" width="9" bestFit="1" customWidth="1"/>
    <col min="2" max="2" width="9.5546875" bestFit="1" customWidth="1"/>
    <col min="3" max="3" width="8.109375" bestFit="1" customWidth="1"/>
    <col min="5" max="5" width="8.6640625" bestFit="1" customWidth="1"/>
    <col min="6" max="6" width="9.6640625" bestFit="1" customWidth="1"/>
    <col min="7" max="7" width="7" bestFit="1" customWidth="1"/>
    <col min="8" max="8" width="5.21875" bestFit="1" customWidth="1"/>
    <col min="9" max="9" width="14.21875" bestFit="1" customWidth="1"/>
    <col min="10" max="10" width="13.44140625" bestFit="1" customWidth="1"/>
    <col min="11" max="11" width="16.88671875" bestFit="1" customWidth="1"/>
    <col min="12" max="12" width="19.44140625" bestFit="1" customWidth="1"/>
    <col min="13" max="13" width="16.88671875" bestFit="1" customWidth="1"/>
    <col min="14" max="14" width="14.77734375" bestFit="1" customWidth="1"/>
    <col min="15" max="15" width="15.441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8200826</v>
      </c>
      <c r="B2">
        <v>1</v>
      </c>
      <c r="C2">
        <v>134</v>
      </c>
      <c r="D2">
        <v>27</v>
      </c>
      <c r="E2">
        <v>33</v>
      </c>
      <c r="F2">
        <v>28</v>
      </c>
      <c r="G2">
        <v>36</v>
      </c>
      <c r="H2">
        <v>259</v>
      </c>
      <c r="I2" t="s">
        <v>82</v>
      </c>
      <c r="J2">
        <v>6</v>
      </c>
      <c r="K2">
        <v>4116</v>
      </c>
      <c r="L2">
        <v>816</v>
      </c>
      <c r="M2">
        <v>2050</v>
      </c>
      <c r="N2" t="s">
        <v>162</v>
      </c>
      <c r="O2" t="s">
        <v>163</v>
      </c>
    </row>
    <row r="3" spans="1:15" x14ac:dyDescent="0.3">
      <c r="A3">
        <v>43230061</v>
      </c>
      <c r="B3">
        <v>1</v>
      </c>
      <c r="C3">
        <v>91</v>
      </c>
      <c r="D3">
        <v>33</v>
      </c>
      <c r="E3">
        <v>4</v>
      </c>
      <c r="F3">
        <v>0</v>
      </c>
      <c r="G3">
        <v>1</v>
      </c>
      <c r="H3">
        <v>130</v>
      </c>
      <c r="I3" t="s">
        <v>83</v>
      </c>
      <c r="J3">
        <v>77</v>
      </c>
      <c r="K3">
        <v>130</v>
      </c>
      <c r="L3">
        <v>0</v>
      </c>
      <c r="M3">
        <v>54</v>
      </c>
      <c r="N3" t="s">
        <v>19</v>
      </c>
      <c r="O3" t="s">
        <v>84</v>
      </c>
    </row>
    <row r="4" spans="1:15" x14ac:dyDescent="0.3">
      <c r="A4">
        <v>43290314</v>
      </c>
      <c r="B4">
        <v>1</v>
      </c>
      <c r="C4">
        <v>88</v>
      </c>
      <c r="D4">
        <v>34</v>
      </c>
      <c r="E4">
        <v>9</v>
      </c>
      <c r="F4">
        <v>0</v>
      </c>
      <c r="G4">
        <v>1</v>
      </c>
      <c r="H4">
        <v>133</v>
      </c>
      <c r="I4" t="s">
        <v>85</v>
      </c>
      <c r="J4">
        <v>72</v>
      </c>
      <c r="K4">
        <v>133</v>
      </c>
      <c r="L4">
        <v>1</v>
      </c>
      <c r="M4">
        <v>30</v>
      </c>
      <c r="N4" t="s">
        <v>72</v>
      </c>
      <c r="O4" t="s">
        <v>86</v>
      </c>
    </row>
    <row r="5" spans="1:15" x14ac:dyDescent="0.3">
      <c r="A5">
        <v>43319297</v>
      </c>
      <c r="B5">
        <v>1</v>
      </c>
      <c r="C5">
        <v>63</v>
      </c>
      <c r="D5">
        <v>26</v>
      </c>
      <c r="E5">
        <v>9</v>
      </c>
      <c r="F5">
        <v>2</v>
      </c>
      <c r="G5">
        <v>0</v>
      </c>
      <c r="H5">
        <v>101</v>
      </c>
      <c r="I5" t="s">
        <v>87</v>
      </c>
      <c r="J5">
        <v>50</v>
      </c>
      <c r="K5">
        <v>101</v>
      </c>
      <c r="L5">
        <v>0</v>
      </c>
      <c r="M5">
        <v>6</v>
      </c>
      <c r="N5" t="s">
        <v>19</v>
      </c>
      <c r="O5" t="s">
        <v>88</v>
      </c>
    </row>
    <row r="6" spans="1:15" x14ac:dyDescent="0.3">
      <c r="A6">
        <v>43346700</v>
      </c>
      <c r="B6">
        <v>1</v>
      </c>
      <c r="C6">
        <v>101</v>
      </c>
      <c r="D6">
        <v>16</v>
      </c>
      <c r="E6">
        <v>7</v>
      </c>
      <c r="F6">
        <v>1</v>
      </c>
      <c r="G6">
        <v>0</v>
      </c>
      <c r="H6">
        <v>126</v>
      </c>
      <c r="I6" t="s">
        <v>89</v>
      </c>
      <c r="J6">
        <v>77</v>
      </c>
      <c r="K6">
        <v>126</v>
      </c>
      <c r="L6">
        <v>0</v>
      </c>
      <c r="M6">
        <v>16</v>
      </c>
      <c r="N6" t="s">
        <v>19</v>
      </c>
      <c r="O6" t="s">
        <v>90</v>
      </c>
    </row>
    <row r="7" spans="1:15" x14ac:dyDescent="0.3">
      <c r="A7">
        <v>43374604</v>
      </c>
      <c r="B7">
        <v>1</v>
      </c>
      <c r="C7">
        <v>61</v>
      </c>
      <c r="D7">
        <v>15</v>
      </c>
      <c r="E7">
        <v>3</v>
      </c>
      <c r="F7">
        <v>0</v>
      </c>
      <c r="G7">
        <v>0</v>
      </c>
      <c r="H7">
        <v>80</v>
      </c>
      <c r="I7" t="s">
        <v>91</v>
      </c>
      <c r="J7">
        <v>56</v>
      </c>
      <c r="K7">
        <v>80</v>
      </c>
      <c r="L7">
        <v>0</v>
      </c>
      <c r="M7">
        <v>8</v>
      </c>
      <c r="N7" t="s">
        <v>19</v>
      </c>
      <c r="O7" t="s">
        <v>92</v>
      </c>
    </row>
    <row r="8" spans="1:15" x14ac:dyDescent="0.3">
      <c r="A8">
        <v>43402439</v>
      </c>
      <c r="B8">
        <v>1</v>
      </c>
      <c r="C8">
        <v>96</v>
      </c>
      <c r="D8">
        <v>26</v>
      </c>
      <c r="E8">
        <v>6</v>
      </c>
      <c r="F8">
        <v>1</v>
      </c>
      <c r="G8">
        <v>0</v>
      </c>
      <c r="H8">
        <v>130</v>
      </c>
      <c r="I8" t="s">
        <v>93</v>
      </c>
      <c r="J8">
        <v>89</v>
      </c>
      <c r="K8">
        <v>130</v>
      </c>
      <c r="L8">
        <v>5</v>
      </c>
      <c r="M8">
        <v>4</v>
      </c>
      <c r="N8" t="s">
        <v>28</v>
      </c>
      <c r="O8" t="s">
        <v>94</v>
      </c>
    </row>
    <row r="9" spans="1:15" x14ac:dyDescent="0.3">
      <c r="A9">
        <v>43430885</v>
      </c>
      <c r="B9">
        <v>1</v>
      </c>
      <c r="C9">
        <v>75</v>
      </c>
      <c r="D9">
        <v>22</v>
      </c>
      <c r="E9">
        <v>7</v>
      </c>
      <c r="F9">
        <v>1</v>
      </c>
      <c r="G9">
        <v>0</v>
      </c>
      <c r="H9">
        <v>106</v>
      </c>
      <c r="I9" t="s">
        <v>95</v>
      </c>
      <c r="J9">
        <v>70</v>
      </c>
      <c r="K9">
        <v>106</v>
      </c>
      <c r="L9">
        <v>0</v>
      </c>
      <c r="M9">
        <v>6</v>
      </c>
      <c r="N9" t="s">
        <v>19</v>
      </c>
      <c r="O9" t="s">
        <v>96</v>
      </c>
    </row>
    <row r="10" spans="1:15" x14ac:dyDescent="0.3">
      <c r="A10">
        <v>43485077</v>
      </c>
      <c r="B10">
        <v>1</v>
      </c>
      <c r="C10">
        <v>96</v>
      </c>
      <c r="D10">
        <v>16</v>
      </c>
      <c r="E10">
        <v>3</v>
      </c>
      <c r="F10">
        <v>1</v>
      </c>
      <c r="G10">
        <v>0</v>
      </c>
      <c r="H10">
        <v>117</v>
      </c>
      <c r="I10" t="s">
        <v>97</v>
      </c>
      <c r="J10">
        <v>91</v>
      </c>
      <c r="K10">
        <v>117</v>
      </c>
      <c r="L10">
        <v>1</v>
      </c>
      <c r="M10">
        <v>5</v>
      </c>
      <c r="N10" t="s">
        <v>98</v>
      </c>
      <c r="O10" t="s">
        <v>99</v>
      </c>
    </row>
    <row r="11" spans="1:15" x14ac:dyDescent="0.3">
      <c r="A11">
        <v>43512432</v>
      </c>
      <c r="B11">
        <v>1</v>
      </c>
      <c r="C11">
        <v>117</v>
      </c>
      <c r="D11">
        <v>22</v>
      </c>
      <c r="E11">
        <v>3</v>
      </c>
      <c r="F11">
        <v>1</v>
      </c>
      <c r="G11">
        <v>0</v>
      </c>
      <c r="H11">
        <v>144</v>
      </c>
      <c r="I11" t="s">
        <v>100</v>
      </c>
      <c r="J11">
        <v>112</v>
      </c>
      <c r="K11">
        <v>144</v>
      </c>
      <c r="L11">
        <v>2</v>
      </c>
      <c r="M11">
        <v>5</v>
      </c>
      <c r="N11" t="s">
        <v>101</v>
      </c>
      <c r="O11" t="s">
        <v>102</v>
      </c>
    </row>
    <row r="12" spans="1:15" x14ac:dyDescent="0.3">
      <c r="A12">
        <v>43539274</v>
      </c>
      <c r="B12">
        <v>1</v>
      </c>
      <c r="C12">
        <v>110</v>
      </c>
      <c r="D12">
        <v>24</v>
      </c>
      <c r="E12">
        <v>4</v>
      </c>
      <c r="F12">
        <v>1</v>
      </c>
      <c r="G12">
        <v>0</v>
      </c>
      <c r="H12">
        <v>140</v>
      </c>
      <c r="I12" t="s">
        <v>103</v>
      </c>
      <c r="J12">
        <v>103</v>
      </c>
      <c r="K12">
        <v>140</v>
      </c>
      <c r="L12">
        <v>0</v>
      </c>
      <c r="M12">
        <v>11</v>
      </c>
      <c r="N12" t="s">
        <v>19</v>
      </c>
      <c r="O12" t="s">
        <v>104</v>
      </c>
    </row>
    <row r="13" spans="1:15" x14ac:dyDescent="0.3">
      <c r="A13">
        <v>43566043</v>
      </c>
      <c r="B13">
        <v>1</v>
      </c>
      <c r="C13">
        <v>107</v>
      </c>
      <c r="D13">
        <v>28</v>
      </c>
      <c r="E13">
        <v>3</v>
      </c>
      <c r="F13">
        <v>1</v>
      </c>
      <c r="G13">
        <v>0</v>
      </c>
      <c r="H13">
        <v>140</v>
      </c>
      <c r="I13" t="s">
        <v>105</v>
      </c>
      <c r="J13">
        <v>99</v>
      </c>
      <c r="K13">
        <v>140</v>
      </c>
      <c r="L13">
        <v>1</v>
      </c>
      <c r="M13">
        <v>11</v>
      </c>
      <c r="N13" t="s">
        <v>106</v>
      </c>
      <c r="O13" t="s">
        <v>104</v>
      </c>
    </row>
    <row r="14" spans="1:15" x14ac:dyDescent="0.3">
      <c r="A14">
        <v>43593087</v>
      </c>
      <c r="B14">
        <v>1</v>
      </c>
      <c r="C14">
        <v>97</v>
      </c>
      <c r="D14">
        <v>26</v>
      </c>
      <c r="E14">
        <v>0</v>
      </c>
      <c r="F14">
        <v>1</v>
      </c>
      <c r="G14">
        <v>0</v>
      </c>
      <c r="H14">
        <v>125</v>
      </c>
      <c r="I14" t="s">
        <v>107</v>
      </c>
      <c r="J14">
        <v>92</v>
      </c>
      <c r="K14">
        <v>125</v>
      </c>
      <c r="L14">
        <v>0</v>
      </c>
      <c r="M14">
        <v>8</v>
      </c>
      <c r="N14" t="s">
        <v>19</v>
      </c>
      <c r="O14" t="s">
        <v>108</v>
      </c>
    </row>
    <row r="15" spans="1:15" x14ac:dyDescent="0.3">
      <c r="A15">
        <v>43614456</v>
      </c>
      <c r="B15">
        <v>1</v>
      </c>
      <c r="C15">
        <v>68</v>
      </c>
      <c r="D15">
        <v>20</v>
      </c>
      <c r="E15">
        <v>2</v>
      </c>
      <c r="F15">
        <v>2</v>
      </c>
      <c r="G15">
        <v>1</v>
      </c>
      <c r="H15">
        <v>94</v>
      </c>
      <c r="I15" t="s">
        <v>109</v>
      </c>
      <c r="J15">
        <v>61</v>
      </c>
      <c r="K15">
        <v>94</v>
      </c>
      <c r="L15">
        <v>1</v>
      </c>
      <c r="M15">
        <v>12</v>
      </c>
      <c r="N15" t="s">
        <v>110</v>
      </c>
      <c r="O15" t="s">
        <v>111</v>
      </c>
    </row>
    <row r="16" spans="1:15" x14ac:dyDescent="0.3">
      <c r="A16">
        <v>43674483</v>
      </c>
      <c r="B16">
        <v>1</v>
      </c>
      <c r="C16">
        <v>84</v>
      </c>
      <c r="D16">
        <v>13</v>
      </c>
      <c r="E16">
        <v>3</v>
      </c>
      <c r="F16">
        <v>0</v>
      </c>
      <c r="G16">
        <v>0</v>
      </c>
      <c r="H16">
        <v>101</v>
      </c>
      <c r="I16" t="s">
        <v>112</v>
      </c>
      <c r="J16">
        <v>79</v>
      </c>
      <c r="K16">
        <v>101</v>
      </c>
      <c r="L16">
        <v>1</v>
      </c>
      <c r="M16">
        <v>6</v>
      </c>
      <c r="N16" t="s">
        <v>113</v>
      </c>
      <c r="O16" t="s">
        <v>88</v>
      </c>
    </row>
    <row r="17" spans="1:15" x14ac:dyDescent="0.3">
      <c r="A17">
        <v>43701630</v>
      </c>
      <c r="B17">
        <v>1</v>
      </c>
      <c r="C17">
        <v>93</v>
      </c>
      <c r="D17">
        <v>19</v>
      </c>
      <c r="E17">
        <v>3</v>
      </c>
      <c r="F17">
        <v>2</v>
      </c>
      <c r="G17">
        <v>0</v>
      </c>
      <c r="H17">
        <v>118</v>
      </c>
      <c r="I17" t="s">
        <v>114</v>
      </c>
      <c r="J17">
        <v>88</v>
      </c>
      <c r="K17">
        <v>118</v>
      </c>
      <c r="L17">
        <v>0</v>
      </c>
      <c r="M17">
        <v>7</v>
      </c>
      <c r="N17" t="s">
        <v>19</v>
      </c>
      <c r="O17" t="s">
        <v>115</v>
      </c>
    </row>
    <row r="18" spans="1:15" x14ac:dyDescent="0.3">
      <c r="A18">
        <v>43729827</v>
      </c>
      <c r="B18">
        <v>1</v>
      </c>
      <c r="C18">
        <v>87</v>
      </c>
      <c r="D18">
        <v>26</v>
      </c>
      <c r="E18">
        <v>3</v>
      </c>
      <c r="F18">
        <v>1</v>
      </c>
      <c r="G18">
        <v>0</v>
      </c>
      <c r="H18">
        <v>118</v>
      </c>
      <c r="I18" t="s">
        <v>116</v>
      </c>
      <c r="J18">
        <v>82</v>
      </c>
      <c r="K18">
        <v>118</v>
      </c>
      <c r="L18">
        <v>0</v>
      </c>
      <c r="M18">
        <v>3</v>
      </c>
      <c r="N18" t="s">
        <v>19</v>
      </c>
      <c r="O18" t="s">
        <v>117</v>
      </c>
    </row>
    <row r="19" spans="1:15" x14ac:dyDescent="0.3">
      <c r="A19">
        <v>43756635</v>
      </c>
      <c r="B19">
        <v>1</v>
      </c>
      <c r="C19">
        <v>63</v>
      </c>
      <c r="D19">
        <v>28</v>
      </c>
      <c r="E19">
        <v>5</v>
      </c>
      <c r="F19">
        <v>0</v>
      </c>
      <c r="G19">
        <v>0</v>
      </c>
      <c r="H19">
        <v>97</v>
      </c>
      <c r="I19" t="s">
        <v>118</v>
      </c>
      <c r="J19">
        <v>58</v>
      </c>
      <c r="K19">
        <v>97</v>
      </c>
      <c r="L19">
        <v>0</v>
      </c>
      <c r="M19">
        <v>5</v>
      </c>
      <c r="N19" t="s">
        <v>19</v>
      </c>
      <c r="O19" t="s">
        <v>119</v>
      </c>
    </row>
    <row r="20" spans="1:15" x14ac:dyDescent="0.3">
      <c r="A20">
        <v>43783789</v>
      </c>
      <c r="B20">
        <v>1</v>
      </c>
      <c r="C20">
        <v>100</v>
      </c>
      <c r="D20">
        <v>15</v>
      </c>
      <c r="E20">
        <v>0</v>
      </c>
      <c r="F20">
        <v>0</v>
      </c>
      <c r="G20">
        <v>0</v>
      </c>
      <c r="H20">
        <v>116</v>
      </c>
      <c r="I20" t="s">
        <v>120</v>
      </c>
      <c r="J20">
        <v>95</v>
      </c>
      <c r="K20">
        <v>116</v>
      </c>
      <c r="L20">
        <v>2</v>
      </c>
      <c r="M20">
        <v>6</v>
      </c>
      <c r="N20" t="s">
        <v>121</v>
      </c>
      <c r="O20" t="s">
        <v>122</v>
      </c>
    </row>
    <row r="21" spans="1:15" x14ac:dyDescent="0.3">
      <c r="A21">
        <v>43811059</v>
      </c>
      <c r="B21">
        <v>1</v>
      </c>
      <c r="C21">
        <v>35</v>
      </c>
      <c r="D21">
        <v>14</v>
      </c>
      <c r="E21">
        <v>3</v>
      </c>
      <c r="F21">
        <v>1</v>
      </c>
      <c r="G21">
        <v>0</v>
      </c>
      <c r="H21">
        <v>54</v>
      </c>
      <c r="I21" t="s">
        <v>123</v>
      </c>
      <c r="J21">
        <v>30</v>
      </c>
      <c r="K21">
        <v>54</v>
      </c>
      <c r="L21">
        <v>0</v>
      </c>
      <c r="M21">
        <v>8</v>
      </c>
      <c r="N21" t="s">
        <v>19</v>
      </c>
      <c r="O21" t="s">
        <v>124</v>
      </c>
    </row>
    <row r="22" spans="1:15" x14ac:dyDescent="0.3">
      <c r="A22">
        <v>43862968</v>
      </c>
      <c r="B22">
        <v>1</v>
      </c>
      <c r="C22">
        <v>117</v>
      </c>
      <c r="D22">
        <v>23</v>
      </c>
      <c r="E22">
        <v>1</v>
      </c>
      <c r="F22">
        <v>1</v>
      </c>
      <c r="G22">
        <v>1</v>
      </c>
      <c r="H22">
        <v>144</v>
      </c>
      <c r="I22" t="s">
        <v>100</v>
      </c>
      <c r="J22">
        <v>70</v>
      </c>
      <c r="K22">
        <v>144</v>
      </c>
      <c r="L22">
        <v>1</v>
      </c>
      <c r="M22">
        <v>10</v>
      </c>
      <c r="N22" t="s">
        <v>125</v>
      </c>
      <c r="O22" t="s">
        <v>126</v>
      </c>
    </row>
    <row r="23" spans="1:15" x14ac:dyDescent="0.3">
      <c r="A23">
        <v>43891958</v>
      </c>
      <c r="B23">
        <v>1</v>
      </c>
      <c r="C23">
        <v>87</v>
      </c>
      <c r="D23">
        <v>30</v>
      </c>
      <c r="E23">
        <v>3</v>
      </c>
      <c r="F23">
        <v>0</v>
      </c>
      <c r="G23">
        <v>0</v>
      </c>
      <c r="H23">
        <v>121</v>
      </c>
      <c r="I23" t="s">
        <v>127</v>
      </c>
      <c r="J23">
        <v>82</v>
      </c>
      <c r="K23">
        <v>121</v>
      </c>
      <c r="L23">
        <v>1</v>
      </c>
      <c r="M23">
        <v>4</v>
      </c>
      <c r="N23" t="s">
        <v>128</v>
      </c>
      <c r="O23" t="s">
        <v>129</v>
      </c>
    </row>
    <row r="24" spans="1:15" x14ac:dyDescent="0.3">
      <c r="A24">
        <v>43920615</v>
      </c>
      <c r="B24">
        <v>1</v>
      </c>
      <c r="C24">
        <v>96</v>
      </c>
      <c r="D24">
        <v>27</v>
      </c>
      <c r="E24">
        <v>1</v>
      </c>
      <c r="F24">
        <v>1</v>
      </c>
      <c r="G24">
        <v>0</v>
      </c>
      <c r="H24">
        <v>126</v>
      </c>
      <c r="I24" t="s">
        <v>130</v>
      </c>
      <c r="J24">
        <v>91</v>
      </c>
      <c r="K24">
        <v>126</v>
      </c>
      <c r="L24">
        <v>0</v>
      </c>
      <c r="M24">
        <v>8</v>
      </c>
      <c r="N24" t="s">
        <v>19</v>
      </c>
      <c r="O24" t="s">
        <v>131</v>
      </c>
    </row>
    <row r="25" spans="1:15" x14ac:dyDescent="0.3">
      <c r="A25">
        <v>43949404</v>
      </c>
      <c r="B25">
        <v>1</v>
      </c>
      <c r="C25">
        <v>79</v>
      </c>
      <c r="D25">
        <v>26</v>
      </c>
      <c r="E25">
        <v>3</v>
      </c>
      <c r="F25">
        <v>1</v>
      </c>
      <c r="G25">
        <v>0</v>
      </c>
      <c r="H25">
        <v>110</v>
      </c>
      <c r="I25" t="s">
        <v>132</v>
      </c>
      <c r="J25">
        <v>74</v>
      </c>
      <c r="K25">
        <v>110</v>
      </c>
      <c r="L25">
        <v>0</v>
      </c>
      <c r="M25">
        <v>5</v>
      </c>
      <c r="N25" t="s">
        <v>19</v>
      </c>
      <c r="O25" t="s">
        <v>133</v>
      </c>
    </row>
    <row r="26" spans="1:15" x14ac:dyDescent="0.3">
      <c r="A26">
        <v>43978801</v>
      </c>
      <c r="B26">
        <v>1</v>
      </c>
      <c r="C26">
        <v>65</v>
      </c>
      <c r="D26">
        <v>19</v>
      </c>
      <c r="E26">
        <v>1</v>
      </c>
      <c r="F26">
        <v>1</v>
      </c>
      <c r="G26">
        <v>0</v>
      </c>
      <c r="H26">
        <v>87</v>
      </c>
      <c r="I26" t="s">
        <v>134</v>
      </c>
      <c r="J26">
        <v>60</v>
      </c>
      <c r="K26">
        <v>87</v>
      </c>
      <c r="L26">
        <v>0</v>
      </c>
      <c r="M26">
        <v>12</v>
      </c>
      <c r="N26" t="s">
        <v>19</v>
      </c>
      <c r="O26" t="s">
        <v>135</v>
      </c>
    </row>
    <row r="27" spans="1:15" x14ac:dyDescent="0.3">
      <c r="A27">
        <v>44010401</v>
      </c>
      <c r="B27">
        <v>1</v>
      </c>
      <c r="C27">
        <v>62</v>
      </c>
      <c r="D27">
        <v>36</v>
      </c>
      <c r="E27">
        <v>2</v>
      </c>
      <c r="F27">
        <v>2</v>
      </c>
      <c r="G27">
        <v>0</v>
      </c>
      <c r="H27">
        <v>103</v>
      </c>
      <c r="I27" t="s">
        <v>136</v>
      </c>
      <c r="J27">
        <v>41</v>
      </c>
      <c r="K27">
        <v>103</v>
      </c>
      <c r="L27">
        <v>0</v>
      </c>
      <c r="M27">
        <v>5</v>
      </c>
      <c r="N27" t="s">
        <v>19</v>
      </c>
      <c r="O27" t="s">
        <v>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4B270-5F2D-413A-91DA-C2218058AD1D}">
  <dimension ref="A1:O54"/>
  <sheetViews>
    <sheetView topLeftCell="A28" workbookViewId="0">
      <selection activeCell="A2" sqref="A2:A54"/>
    </sheetView>
  </sheetViews>
  <sheetFormatPr defaultRowHeight="14.4" x14ac:dyDescent="0.3"/>
  <cols>
    <col min="1" max="1" width="9" bestFit="1" customWidth="1"/>
    <col min="2" max="2" width="9.5546875" bestFit="1" customWidth="1"/>
    <col min="3" max="3" width="8.109375" bestFit="1" customWidth="1"/>
    <col min="5" max="5" width="8.6640625" bestFit="1" customWidth="1"/>
    <col min="6" max="6" width="9.6640625" bestFit="1" customWidth="1"/>
    <col min="7" max="7" width="7" bestFit="1" customWidth="1"/>
    <col min="8" max="8" width="5.21875" bestFit="1" customWidth="1"/>
    <col min="9" max="9" width="14.21875" bestFit="1" customWidth="1"/>
    <col min="10" max="10" width="13.44140625" bestFit="1" customWidth="1"/>
    <col min="11" max="11" width="16.88671875" bestFit="1" customWidth="1"/>
    <col min="12" max="12" width="19.44140625" bestFit="1" customWidth="1"/>
    <col min="13" max="13" width="16.88671875" bestFit="1" customWidth="1"/>
    <col min="14" max="14" width="14.77734375" bestFit="1" customWidth="1"/>
    <col min="15" max="15" width="15.441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42372845</v>
      </c>
      <c r="B2">
        <v>1</v>
      </c>
      <c r="C2">
        <v>19</v>
      </c>
      <c r="D2">
        <v>10</v>
      </c>
      <c r="E2">
        <v>7</v>
      </c>
      <c r="F2">
        <v>0</v>
      </c>
      <c r="G2">
        <v>0</v>
      </c>
      <c r="H2">
        <v>37</v>
      </c>
      <c r="I2" t="s">
        <v>15</v>
      </c>
      <c r="J2">
        <v>14</v>
      </c>
      <c r="K2">
        <v>37</v>
      </c>
      <c r="L2">
        <v>1</v>
      </c>
      <c r="M2">
        <v>8</v>
      </c>
      <c r="N2" t="s">
        <v>16</v>
      </c>
      <c r="O2" t="s">
        <v>17</v>
      </c>
    </row>
    <row r="3" spans="1:15" x14ac:dyDescent="0.3">
      <c r="A3">
        <v>42381392</v>
      </c>
      <c r="B3">
        <v>1</v>
      </c>
      <c r="C3">
        <v>86</v>
      </c>
      <c r="D3">
        <v>21</v>
      </c>
      <c r="E3">
        <v>6</v>
      </c>
      <c r="F3">
        <v>0</v>
      </c>
      <c r="G3">
        <v>1</v>
      </c>
      <c r="H3">
        <v>115</v>
      </c>
      <c r="I3" t="s">
        <v>18</v>
      </c>
      <c r="J3">
        <v>58</v>
      </c>
      <c r="K3">
        <v>115</v>
      </c>
      <c r="L3">
        <v>0</v>
      </c>
      <c r="M3">
        <v>11</v>
      </c>
      <c r="N3" t="s">
        <v>19</v>
      </c>
      <c r="O3" t="s">
        <v>20</v>
      </c>
    </row>
    <row r="4" spans="1:15" x14ac:dyDescent="0.3">
      <c r="A4">
        <v>42406507</v>
      </c>
      <c r="B4">
        <v>1</v>
      </c>
      <c r="C4">
        <v>184</v>
      </c>
      <c r="D4">
        <v>46</v>
      </c>
      <c r="E4">
        <v>27</v>
      </c>
      <c r="F4">
        <v>1</v>
      </c>
      <c r="G4">
        <v>3</v>
      </c>
      <c r="H4">
        <v>262</v>
      </c>
      <c r="I4" t="s">
        <v>21</v>
      </c>
      <c r="J4">
        <v>66</v>
      </c>
      <c r="K4">
        <v>262</v>
      </c>
      <c r="L4">
        <v>0</v>
      </c>
      <c r="M4">
        <v>38</v>
      </c>
      <c r="N4" t="s">
        <v>19</v>
      </c>
      <c r="O4" t="s">
        <v>22</v>
      </c>
    </row>
    <row r="5" spans="1:15" x14ac:dyDescent="0.3">
      <c r="A5">
        <v>42426592</v>
      </c>
      <c r="B5">
        <v>1</v>
      </c>
      <c r="C5">
        <v>128</v>
      </c>
      <c r="D5">
        <v>54</v>
      </c>
      <c r="E5">
        <v>19</v>
      </c>
      <c r="F5">
        <v>1</v>
      </c>
      <c r="G5">
        <v>1</v>
      </c>
      <c r="H5">
        <v>204</v>
      </c>
      <c r="I5" t="s">
        <v>23</v>
      </c>
      <c r="J5">
        <v>70</v>
      </c>
      <c r="K5">
        <v>204</v>
      </c>
      <c r="L5">
        <v>0</v>
      </c>
      <c r="M5">
        <v>55</v>
      </c>
      <c r="N5" t="s">
        <v>19</v>
      </c>
      <c r="O5" t="s">
        <v>24</v>
      </c>
    </row>
    <row r="6" spans="1:15" x14ac:dyDescent="0.3">
      <c r="A6">
        <v>42426641</v>
      </c>
      <c r="B6">
        <v>1</v>
      </c>
      <c r="C6">
        <v>178</v>
      </c>
      <c r="D6">
        <v>25</v>
      </c>
      <c r="E6">
        <v>8</v>
      </c>
      <c r="F6">
        <v>2</v>
      </c>
      <c r="G6">
        <v>1</v>
      </c>
      <c r="H6">
        <v>215</v>
      </c>
      <c r="I6" t="s">
        <v>25</v>
      </c>
      <c r="J6">
        <v>125</v>
      </c>
      <c r="K6">
        <v>215</v>
      </c>
      <c r="L6">
        <v>0</v>
      </c>
      <c r="M6">
        <v>29</v>
      </c>
      <c r="N6" t="s">
        <v>19</v>
      </c>
      <c r="O6" t="s">
        <v>26</v>
      </c>
    </row>
    <row r="7" spans="1:15" x14ac:dyDescent="0.3">
      <c r="A7">
        <v>42458992</v>
      </c>
      <c r="B7">
        <v>1</v>
      </c>
      <c r="C7">
        <v>22</v>
      </c>
      <c r="D7">
        <v>2</v>
      </c>
      <c r="E7">
        <v>1</v>
      </c>
      <c r="F7">
        <v>0</v>
      </c>
      <c r="G7">
        <v>0</v>
      </c>
      <c r="H7">
        <v>26</v>
      </c>
      <c r="I7" t="s">
        <v>27</v>
      </c>
      <c r="J7">
        <v>17</v>
      </c>
      <c r="K7">
        <v>26</v>
      </c>
      <c r="L7">
        <v>0</v>
      </c>
      <c r="M7">
        <v>1</v>
      </c>
      <c r="N7" t="s">
        <v>19</v>
      </c>
      <c r="O7" t="s">
        <v>28</v>
      </c>
    </row>
    <row r="8" spans="1:15" x14ac:dyDescent="0.3">
      <c r="A8">
        <v>42459041</v>
      </c>
      <c r="B8">
        <v>1</v>
      </c>
      <c r="C8">
        <v>12</v>
      </c>
      <c r="D8">
        <v>8</v>
      </c>
      <c r="E8">
        <v>2</v>
      </c>
      <c r="F8">
        <v>0</v>
      </c>
      <c r="G8">
        <v>0</v>
      </c>
      <c r="H8">
        <v>23</v>
      </c>
      <c r="I8" t="s">
        <v>29</v>
      </c>
      <c r="J8">
        <v>7</v>
      </c>
      <c r="K8">
        <v>23</v>
      </c>
      <c r="L8">
        <v>0</v>
      </c>
      <c r="M8">
        <v>6</v>
      </c>
      <c r="N8" t="s">
        <v>19</v>
      </c>
      <c r="O8" t="s">
        <v>30</v>
      </c>
    </row>
    <row r="9" spans="1:15" x14ac:dyDescent="0.3">
      <c r="A9">
        <v>42459099</v>
      </c>
      <c r="B9">
        <v>1</v>
      </c>
      <c r="C9">
        <v>47</v>
      </c>
      <c r="D9">
        <v>0</v>
      </c>
      <c r="E9">
        <v>0</v>
      </c>
      <c r="F9">
        <v>0</v>
      </c>
      <c r="G9">
        <v>1</v>
      </c>
      <c r="H9">
        <v>49</v>
      </c>
      <c r="I9" t="s">
        <v>31</v>
      </c>
      <c r="J9">
        <v>19</v>
      </c>
      <c r="K9">
        <v>49</v>
      </c>
      <c r="L9">
        <v>0</v>
      </c>
      <c r="M9">
        <v>4</v>
      </c>
      <c r="N9" t="s">
        <v>19</v>
      </c>
      <c r="O9" t="s">
        <v>32</v>
      </c>
    </row>
    <row r="10" spans="1:15" x14ac:dyDescent="0.3">
      <c r="A10">
        <v>42459206</v>
      </c>
      <c r="B10">
        <v>1</v>
      </c>
      <c r="C10">
        <v>55</v>
      </c>
      <c r="D10">
        <v>17</v>
      </c>
      <c r="E10">
        <v>2</v>
      </c>
      <c r="F10">
        <v>0</v>
      </c>
      <c r="G10">
        <v>2</v>
      </c>
      <c r="H10">
        <v>77</v>
      </c>
      <c r="I10" t="s">
        <v>33</v>
      </c>
      <c r="J10">
        <v>16</v>
      </c>
      <c r="K10">
        <v>77</v>
      </c>
      <c r="L10">
        <v>0</v>
      </c>
      <c r="M10">
        <v>13</v>
      </c>
      <c r="N10" t="s">
        <v>19</v>
      </c>
      <c r="O10" t="s">
        <v>34</v>
      </c>
    </row>
    <row r="11" spans="1:15" x14ac:dyDescent="0.3">
      <c r="A11">
        <v>42459241</v>
      </c>
      <c r="B11">
        <v>1</v>
      </c>
      <c r="C11">
        <v>37</v>
      </c>
      <c r="D11">
        <v>22</v>
      </c>
      <c r="E11">
        <v>6</v>
      </c>
      <c r="F11">
        <v>0</v>
      </c>
      <c r="G11">
        <v>2</v>
      </c>
      <c r="H11">
        <v>68</v>
      </c>
      <c r="I11" t="s">
        <v>35</v>
      </c>
      <c r="J11">
        <v>18</v>
      </c>
      <c r="K11">
        <v>68</v>
      </c>
      <c r="L11">
        <v>0</v>
      </c>
      <c r="M11">
        <v>35</v>
      </c>
      <c r="N11" t="s">
        <v>19</v>
      </c>
      <c r="O11" t="s">
        <v>36</v>
      </c>
    </row>
    <row r="12" spans="1:15" x14ac:dyDescent="0.3">
      <c r="A12">
        <v>42459298</v>
      </c>
      <c r="B12">
        <v>1</v>
      </c>
      <c r="C12">
        <v>20</v>
      </c>
      <c r="D12">
        <v>3</v>
      </c>
      <c r="E12">
        <v>1</v>
      </c>
      <c r="F12">
        <v>0</v>
      </c>
      <c r="G12">
        <v>1</v>
      </c>
      <c r="H12">
        <v>26</v>
      </c>
      <c r="I12" t="s">
        <v>37</v>
      </c>
      <c r="J12">
        <v>15</v>
      </c>
      <c r="K12">
        <v>26</v>
      </c>
      <c r="L12">
        <v>0</v>
      </c>
      <c r="M12">
        <v>2</v>
      </c>
      <c r="N12" t="s">
        <v>19</v>
      </c>
      <c r="O12" t="s">
        <v>38</v>
      </c>
    </row>
    <row r="13" spans="1:15" x14ac:dyDescent="0.3">
      <c r="A13">
        <v>42463024</v>
      </c>
      <c r="B13">
        <v>1</v>
      </c>
      <c r="C13">
        <v>301</v>
      </c>
      <c r="D13">
        <v>31</v>
      </c>
      <c r="E13">
        <v>11</v>
      </c>
      <c r="F13">
        <v>4</v>
      </c>
      <c r="G13">
        <v>5</v>
      </c>
      <c r="H13">
        <v>353</v>
      </c>
      <c r="I13" t="s">
        <v>39</v>
      </c>
      <c r="J13">
        <v>103</v>
      </c>
      <c r="K13">
        <v>353</v>
      </c>
      <c r="L13">
        <v>0</v>
      </c>
      <c r="M13">
        <v>53</v>
      </c>
      <c r="N13" t="s">
        <v>19</v>
      </c>
      <c r="O13" t="s">
        <v>40</v>
      </c>
    </row>
    <row r="14" spans="1:15" x14ac:dyDescent="0.3">
      <c r="A14">
        <v>42463063</v>
      </c>
      <c r="B14">
        <v>1</v>
      </c>
      <c r="C14">
        <v>209</v>
      </c>
      <c r="D14">
        <v>8</v>
      </c>
      <c r="E14">
        <v>7</v>
      </c>
      <c r="F14">
        <v>1</v>
      </c>
      <c r="G14">
        <v>2</v>
      </c>
      <c r="H14">
        <v>228</v>
      </c>
      <c r="I14" t="s">
        <v>41</v>
      </c>
      <c r="J14">
        <v>100</v>
      </c>
      <c r="K14">
        <v>228</v>
      </c>
      <c r="L14">
        <v>0</v>
      </c>
      <c r="M14">
        <v>108</v>
      </c>
      <c r="N14" t="s">
        <v>19</v>
      </c>
      <c r="O14" t="s">
        <v>42</v>
      </c>
    </row>
    <row r="15" spans="1:15" x14ac:dyDescent="0.3">
      <c r="A15">
        <v>42598944</v>
      </c>
      <c r="B15">
        <v>1</v>
      </c>
      <c r="C15">
        <v>114</v>
      </c>
      <c r="D15">
        <v>7</v>
      </c>
      <c r="E15">
        <v>7</v>
      </c>
      <c r="F15">
        <v>0</v>
      </c>
      <c r="G15">
        <v>1</v>
      </c>
      <c r="H15">
        <v>130</v>
      </c>
      <c r="I15" t="s">
        <v>43</v>
      </c>
      <c r="J15">
        <v>109</v>
      </c>
      <c r="K15">
        <v>130</v>
      </c>
      <c r="L15">
        <v>1</v>
      </c>
      <c r="M15">
        <v>18</v>
      </c>
      <c r="N15" t="s">
        <v>44</v>
      </c>
      <c r="O15" t="s">
        <v>45</v>
      </c>
    </row>
    <row r="16" spans="1:15" x14ac:dyDescent="0.3">
      <c r="A16">
        <v>42705635</v>
      </c>
      <c r="B16">
        <v>1</v>
      </c>
      <c r="C16">
        <v>110</v>
      </c>
      <c r="D16">
        <v>60</v>
      </c>
      <c r="E16">
        <v>21</v>
      </c>
      <c r="F16">
        <v>2</v>
      </c>
      <c r="G16">
        <v>1</v>
      </c>
      <c r="H16">
        <v>195</v>
      </c>
      <c r="I16" t="s">
        <v>46</v>
      </c>
      <c r="J16">
        <v>65</v>
      </c>
      <c r="K16">
        <v>195</v>
      </c>
      <c r="L16">
        <v>3</v>
      </c>
      <c r="M16">
        <v>20</v>
      </c>
      <c r="N16" t="s">
        <v>47</v>
      </c>
      <c r="O16" t="s">
        <v>48</v>
      </c>
    </row>
    <row r="17" spans="1:15" x14ac:dyDescent="0.3">
      <c r="A17">
        <v>42731028</v>
      </c>
      <c r="B17">
        <v>1</v>
      </c>
      <c r="C17">
        <v>167</v>
      </c>
      <c r="D17">
        <v>20</v>
      </c>
      <c r="E17">
        <v>12</v>
      </c>
      <c r="F17">
        <v>1</v>
      </c>
      <c r="G17">
        <v>0</v>
      </c>
      <c r="H17">
        <v>201</v>
      </c>
      <c r="I17" t="s">
        <v>49</v>
      </c>
      <c r="J17">
        <v>99</v>
      </c>
      <c r="K17">
        <v>201</v>
      </c>
      <c r="L17">
        <v>1</v>
      </c>
      <c r="M17">
        <v>15</v>
      </c>
      <c r="N17" t="s">
        <v>50</v>
      </c>
      <c r="O17" t="s">
        <v>51</v>
      </c>
    </row>
    <row r="18" spans="1:15" x14ac:dyDescent="0.3">
      <c r="A18">
        <v>42758642</v>
      </c>
      <c r="B18">
        <v>1</v>
      </c>
      <c r="C18">
        <v>128</v>
      </c>
      <c r="D18">
        <v>56</v>
      </c>
      <c r="E18">
        <v>22</v>
      </c>
      <c r="F18">
        <v>0</v>
      </c>
      <c r="G18">
        <v>2</v>
      </c>
      <c r="H18">
        <v>209</v>
      </c>
      <c r="I18" t="s">
        <v>52</v>
      </c>
      <c r="J18">
        <v>67</v>
      </c>
      <c r="K18">
        <v>209</v>
      </c>
      <c r="L18">
        <v>1</v>
      </c>
      <c r="M18">
        <v>24</v>
      </c>
      <c r="N18" t="s">
        <v>53</v>
      </c>
      <c r="O18" t="s">
        <v>54</v>
      </c>
    </row>
    <row r="19" spans="1:15" x14ac:dyDescent="0.3">
      <c r="A19">
        <v>42787717</v>
      </c>
      <c r="B19">
        <v>1</v>
      </c>
      <c r="C19">
        <v>98</v>
      </c>
      <c r="D19">
        <v>20</v>
      </c>
      <c r="E19">
        <v>15</v>
      </c>
      <c r="F19">
        <v>1</v>
      </c>
      <c r="G19">
        <v>0</v>
      </c>
      <c r="H19">
        <v>135</v>
      </c>
      <c r="I19" t="s">
        <v>55</v>
      </c>
      <c r="J19">
        <v>82</v>
      </c>
      <c r="K19">
        <v>135</v>
      </c>
      <c r="L19">
        <v>0</v>
      </c>
      <c r="M19">
        <v>21</v>
      </c>
      <c r="N19" t="s">
        <v>19</v>
      </c>
      <c r="O19" t="s">
        <v>56</v>
      </c>
    </row>
    <row r="20" spans="1:15" x14ac:dyDescent="0.3">
      <c r="A20">
        <v>42814075</v>
      </c>
      <c r="B20">
        <v>1</v>
      </c>
      <c r="C20">
        <v>91</v>
      </c>
      <c r="D20">
        <v>17</v>
      </c>
      <c r="E20">
        <v>6</v>
      </c>
      <c r="F20">
        <v>0</v>
      </c>
      <c r="G20">
        <v>0</v>
      </c>
      <c r="H20">
        <v>115</v>
      </c>
      <c r="I20" t="s">
        <v>57</v>
      </c>
      <c r="J20">
        <v>86</v>
      </c>
      <c r="K20">
        <v>115</v>
      </c>
      <c r="L20">
        <v>1</v>
      </c>
      <c r="M20">
        <v>17</v>
      </c>
      <c r="N20" t="s">
        <v>58</v>
      </c>
      <c r="O20" t="s">
        <v>59</v>
      </c>
    </row>
    <row r="21" spans="1:15" x14ac:dyDescent="0.3">
      <c r="A21">
        <v>42913719</v>
      </c>
      <c r="B21">
        <v>1</v>
      </c>
      <c r="C21">
        <v>148</v>
      </c>
      <c r="D21">
        <v>36</v>
      </c>
      <c r="E21">
        <v>10</v>
      </c>
      <c r="F21">
        <v>0</v>
      </c>
      <c r="G21">
        <v>1</v>
      </c>
      <c r="H21">
        <v>196</v>
      </c>
      <c r="I21" t="s">
        <v>60</v>
      </c>
      <c r="J21">
        <v>142</v>
      </c>
      <c r="K21">
        <v>196</v>
      </c>
      <c r="L21">
        <v>1</v>
      </c>
      <c r="M21">
        <v>25</v>
      </c>
      <c r="N21" t="s">
        <v>61</v>
      </c>
      <c r="O21" t="s">
        <v>62</v>
      </c>
    </row>
    <row r="22" spans="1:15" x14ac:dyDescent="0.3">
      <c r="A22">
        <v>42971568</v>
      </c>
      <c r="B22">
        <v>1</v>
      </c>
      <c r="C22">
        <v>102</v>
      </c>
      <c r="D22">
        <v>23</v>
      </c>
      <c r="E22">
        <v>6</v>
      </c>
      <c r="F22">
        <v>0</v>
      </c>
      <c r="G22">
        <v>0</v>
      </c>
      <c r="H22">
        <v>132</v>
      </c>
      <c r="I22" t="s">
        <v>63</v>
      </c>
      <c r="J22">
        <v>97</v>
      </c>
      <c r="K22">
        <v>132</v>
      </c>
      <c r="L22">
        <v>2</v>
      </c>
      <c r="M22">
        <v>12</v>
      </c>
      <c r="N22" t="s">
        <v>64</v>
      </c>
      <c r="O22" t="s">
        <v>65</v>
      </c>
    </row>
    <row r="23" spans="1:15" x14ac:dyDescent="0.3">
      <c r="A23">
        <v>42997602</v>
      </c>
      <c r="B23">
        <v>1</v>
      </c>
      <c r="C23">
        <v>148</v>
      </c>
      <c r="D23">
        <v>33</v>
      </c>
      <c r="E23">
        <v>13</v>
      </c>
      <c r="F23">
        <v>2</v>
      </c>
      <c r="G23">
        <v>0</v>
      </c>
      <c r="H23">
        <v>197</v>
      </c>
      <c r="I23" t="s">
        <v>66</v>
      </c>
      <c r="J23">
        <v>97</v>
      </c>
      <c r="K23">
        <v>197</v>
      </c>
      <c r="L23">
        <v>1</v>
      </c>
      <c r="M23">
        <v>17</v>
      </c>
      <c r="N23" t="s">
        <v>61</v>
      </c>
      <c r="O23" t="s">
        <v>67</v>
      </c>
    </row>
    <row r="24" spans="1:15" x14ac:dyDescent="0.3">
      <c r="A24">
        <v>43022614</v>
      </c>
      <c r="B24">
        <v>1</v>
      </c>
      <c r="C24">
        <v>114</v>
      </c>
      <c r="D24">
        <v>31</v>
      </c>
      <c r="E24">
        <v>18</v>
      </c>
      <c r="F24">
        <v>0</v>
      </c>
      <c r="G24">
        <v>1</v>
      </c>
      <c r="H24">
        <v>165</v>
      </c>
      <c r="I24" t="s">
        <v>68</v>
      </c>
      <c r="J24">
        <v>109</v>
      </c>
      <c r="K24">
        <v>165</v>
      </c>
      <c r="L24">
        <v>1</v>
      </c>
      <c r="M24">
        <v>35</v>
      </c>
      <c r="N24" t="s">
        <v>69</v>
      </c>
      <c r="O24" t="s">
        <v>70</v>
      </c>
    </row>
    <row r="25" spans="1:15" x14ac:dyDescent="0.3">
      <c r="A25">
        <v>43081554</v>
      </c>
      <c r="B25">
        <v>1</v>
      </c>
      <c r="C25">
        <v>73</v>
      </c>
      <c r="D25">
        <v>40</v>
      </c>
      <c r="E25">
        <v>20</v>
      </c>
      <c r="F25">
        <v>0</v>
      </c>
      <c r="G25">
        <v>0</v>
      </c>
      <c r="H25">
        <v>134</v>
      </c>
      <c r="I25" t="s">
        <v>71</v>
      </c>
      <c r="J25">
        <v>66</v>
      </c>
      <c r="K25">
        <v>134</v>
      </c>
      <c r="L25">
        <v>1</v>
      </c>
      <c r="M25">
        <v>24</v>
      </c>
      <c r="N25" t="s">
        <v>72</v>
      </c>
      <c r="O25" t="s">
        <v>73</v>
      </c>
    </row>
    <row r="26" spans="1:15" x14ac:dyDescent="0.3">
      <c r="A26">
        <v>43110506</v>
      </c>
      <c r="B26">
        <v>1</v>
      </c>
      <c r="C26">
        <v>86</v>
      </c>
      <c r="D26">
        <v>22</v>
      </c>
      <c r="E26">
        <v>8</v>
      </c>
      <c r="F26">
        <v>2</v>
      </c>
      <c r="G26">
        <v>0</v>
      </c>
      <c r="H26">
        <v>119</v>
      </c>
      <c r="I26" t="s">
        <v>74</v>
      </c>
      <c r="J26">
        <v>81</v>
      </c>
      <c r="K26">
        <v>119</v>
      </c>
      <c r="L26">
        <v>1</v>
      </c>
      <c r="M26">
        <v>18</v>
      </c>
      <c r="N26" t="s">
        <v>75</v>
      </c>
      <c r="O26" t="s">
        <v>76</v>
      </c>
    </row>
    <row r="27" spans="1:15" x14ac:dyDescent="0.3">
      <c r="A27">
        <v>43138108</v>
      </c>
      <c r="B27">
        <v>1</v>
      </c>
      <c r="C27">
        <v>102</v>
      </c>
      <c r="D27">
        <v>38</v>
      </c>
      <c r="E27">
        <v>12</v>
      </c>
      <c r="F27">
        <v>2</v>
      </c>
      <c r="G27">
        <v>0</v>
      </c>
      <c r="H27">
        <v>155</v>
      </c>
      <c r="I27" t="s">
        <v>77</v>
      </c>
      <c r="J27">
        <v>76</v>
      </c>
      <c r="K27">
        <v>155</v>
      </c>
      <c r="L27">
        <v>0</v>
      </c>
      <c r="M27">
        <v>25</v>
      </c>
      <c r="N27" t="s">
        <v>19</v>
      </c>
      <c r="O27" t="s">
        <v>78</v>
      </c>
    </row>
    <row r="28" spans="1:15" x14ac:dyDescent="0.3">
      <c r="A28">
        <v>43166702</v>
      </c>
      <c r="B28">
        <v>1</v>
      </c>
      <c r="C28">
        <v>107</v>
      </c>
      <c r="D28">
        <v>47</v>
      </c>
      <c r="E28">
        <v>11</v>
      </c>
      <c r="F28">
        <v>2</v>
      </c>
      <c r="G28">
        <v>0</v>
      </c>
      <c r="H28">
        <v>168</v>
      </c>
      <c r="I28" t="s">
        <v>79</v>
      </c>
      <c r="J28">
        <v>81</v>
      </c>
      <c r="K28">
        <v>168</v>
      </c>
      <c r="L28">
        <v>1</v>
      </c>
      <c r="M28">
        <v>15</v>
      </c>
      <c r="N28" t="s">
        <v>80</v>
      </c>
      <c r="O28" t="s">
        <v>81</v>
      </c>
    </row>
    <row r="29" spans="1:15" x14ac:dyDescent="0.3">
      <c r="A29">
        <v>8200826</v>
      </c>
      <c r="B29">
        <v>1</v>
      </c>
      <c r="C29">
        <v>134</v>
      </c>
      <c r="D29">
        <v>27</v>
      </c>
      <c r="E29">
        <v>33</v>
      </c>
      <c r="F29">
        <v>28</v>
      </c>
      <c r="G29">
        <v>36</v>
      </c>
      <c r="H29">
        <v>259</v>
      </c>
      <c r="I29" t="s">
        <v>82</v>
      </c>
      <c r="J29">
        <v>6</v>
      </c>
      <c r="K29">
        <v>4116</v>
      </c>
      <c r="L29">
        <v>816</v>
      </c>
      <c r="M29">
        <v>2050</v>
      </c>
      <c r="N29" t="s">
        <v>162</v>
      </c>
      <c r="O29" t="s">
        <v>163</v>
      </c>
    </row>
    <row r="30" spans="1:15" x14ac:dyDescent="0.3">
      <c r="A30">
        <v>43230061</v>
      </c>
      <c r="B30">
        <v>1</v>
      </c>
      <c r="C30">
        <v>91</v>
      </c>
      <c r="D30">
        <v>33</v>
      </c>
      <c r="E30">
        <v>4</v>
      </c>
      <c r="F30">
        <v>0</v>
      </c>
      <c r="G30">
        <v>1</v>
      </c>
      <c r="H30">
        <v>130</v>
      </c>
      <c r="I30" t="s">
        <v>83</v>
      </c>
      <c r="J30">
        <v>77</v>
      </c>
      <c r="K30">
        <v>130</v>
      </c>
      <c r="L30">
        <v>0</v>
      </c>
      <c r="M30">
        <v>54</v>
      </c>
      <c r="N30" t="s">
        <v>19</v>
      </c>
      <c r="O30" t="s">
        <v>84</v>
      </c>
    </row>
    <row r="31" spans="1:15" x14ac:dyDescent="0.3">
      <c r="A31">
        <v>43290314</v>
      </c>
      <c r="B31">
        <v>1</v>
      </c>
      <c r="C31">
        <v>88</v>
      </c>
      <c r="D31">
        <v>34</v>
      </c>
      <c r="E31">
        <v>9</v>
      </c>
      <c r="F31">
        <v>0</v>
      </c>
      <c r="G31">
        <v>1</v>
      </c>
      <c r="H31">
        <v>133</v>
      </c>
      <c r="I31" t="s">
        <v>85</v>
      </c>
      <c r="J31">
        <v>72</v>
      </c>
      <c r="K31">
        <v>133</v>
      </c>
      <c r="L31">
        <v>1</v>
      </c>
      <c r="M31">
        <v>30</v>
      </c>
      <c r="N31" t="s">
        <v>72</v>
      </c>
      <c r="O31" t="s">
        <v>86</v>
      </c>
    </row>
    <row r="32" spans="1:15" x14ac:dyDescent="0.3">
      <c r="A32">
        <v>43319297</v>
      </c>
      <c r="B32">
        <v>1</v>
      </c>
      <c r="C32">
        <v>63</v>
      </c>
      <c r="D32">
        <v>26</v>
      </c>
      <c r="E32">
        <v>9</v>
      </c>
      <c r="F32">
        <v>2</v>
      </c>
      <c r="G32">
        <v>0</v>
      </c>
      <c r="H32">
        <v>101</v>
      </c>
      <c r="I32" t="s">
        <v>87</v>
      </c>
      <c r="J32">
        <v>50</v>
      </c>
      <c r="K32">
        <v>101</v>
      </c>
      <c r="L32">
        <v>0</v>
      </c>
      <c r="M32">
        <v>6</v>
      </c>
      <c r="N32" t="s">
        <v>19</v>
      </c>
      <c r="O32" t="s">
        <v>88</v>
      </c>
    </row>
    <row r="33" spans="1:15" x14ac:dyDescent="0.3">
      <c r="A33">
        <v>43346700</v>
      </c>
      <c r="B33">
        <v>1</v>
      </c>
      <c r="C33">
        <v>101</v>
      </c>
      <c r="D33">
        <v>16</v>
      </c>
      <c r="E33">
        <v>7</v>
      </c>
      <c r="F33">
        <v>1</v>
      </c>
      <c r="G33">
        <v>0</v>
      </c>
      <c r="H33">
        <v>126</v>
      </c>
      <c r="I33" t="s">
        <v>89</v>
      </c>
      <c r="J33">
        <v>77</v>
      </c>
      <c r="K33">
        <v>126</v>
      </c>
      <c r="L33">
        <v>0</v>
      </c>
      <c r="M33">
        <v>16</v>
      </c>
      <c r="N33" t="s">
        <v>19</v>
      </c>
      <c r="O33" t="s">
        <v>90</v>
      </c>
    </row>
    <row r="34" spans="1:15" x14ac:dyDescent="0.3">
      <c r="A34">
        <v>43374604</v>
      </c>
      <c r="B34">
        <v>1</v>
      </c>
      <c r="C34">
        <v>61</v>
      </c>
      <c r="D34">
        <v>15</v>
      </c>
      <c r="E34">
        <v>3</v>
      </c>
      <c r="F34">
        <v>0</v>
      </c>
      <c r="G34">
        <v>0</v>
      </c>
      <c r="H34">
        <v>80</v>
      </c>
      <c r="I34" t="s">
        <v>91</v>
      </c>
      <c r="J34">
        <v>56</v>
      </c>
      <c r="K34">
        <v>80</v>
      </c>
      <c r="L34">
        <v>0</v>
      </c>
      <c r="M34">
        <v>8</v>
      </c>
      <c r="N34" t="s">
        <v>19</v>
      </c>
      <c r="O34" t="s">
        <v>92</v>
      </c>
    </row>
    <row r="35" spans="1:15" x14ac:dyDescent="0.3">
      <c r="A35">
        <v>43402439</v>
      </c>
      <c r="B35">
        <v>1</v>
      </c>
      <c r="C35">
        <v>96</v>
      </c>
      <c r="D35">
        <v>26</v>
      </c>
      <c r="E35">
        <v>6</v>
      </c>
      <c r="F35">
        <v>1</v>
      </c>
      <c r="G35">
        <v>0</v>
      </c>
      <c r="H35">
        <v>130</v>
      </c>
      <c r="I35" t="s">
        <v>93</v>
      </c>
      <c r="J35">
        <v>89</v>
      </c>
      <c r="K35">
        <v>130</v>
      </c>
      <c r="L35">
        <v>5</v>
      </c>
      <c r="M35">
        <v>4</v>
      </c>
      <c r="N35" t="s">
        <v>28</v>
      </c>
      <c r="O35" t="s">
        <v>94</v>
      </c>
    </row>
    <row r="36" spans="1:15" x14ac:dyDescent="0.3">
      <c r="A36">
        <v>43430885</v>
      </c>
      <c r="B36">
        <v>1</v>
      </c>
      <c r="C36">
        <v>75</v>
      </c>
      <c r="D36">
        <v>22</v>
      </c>
      <c r="E36">
        <v>7</v>
      </c>
      <c r="F36">
        <v>1</v>
      </c>
      <c r="G36">
        <v>0</v>
      </c>
      <c r="H36">
        <v>106</v>
      </c>
      <c r="I36" t="s">
        <v>95</v>
      </c>
      <c r="J36">
        <v>70</v>
      </c>
      <c r="K36">
        <v>106</v>
      </c>
      <c r="L36">
        <v>0</v>
      </c>
      <c r="M36">
        <v>6</v>
      </c>
      <c r="N36" t="s">
        <v>19</v>
      </c>
      <c r="O36" t="s">
        <v>96</v>
      </c>
    </row>
    <row r="37" spans="1:15" x14ac:dyDescent="0.3">
      <c r="A37">
        <v>43485077</v>
      </c>
      <c r="B37">
        <v>1</v>
      </c>
      <c r="C37">
        <v>96</v>
      </c>
      <c r="D37">
        <v>16</v>
      </c>
      <c r="E37">
        <v>3</v>
      </c>
      <c r="F37">
        <v>1</v>
      </c>
      <c r="G37">
        <v>0</v>
      </c>
      <c r="H37">
        <v>117</v>
      </c>
      <c r="I37" t="s">
        <v>97</v>
      </c>
      <c r="J37">
        <v>91</v>
      </c>
      <c r="K37">
        <v>117</v>
      </c>
      <c r="L37">
        <v>1</v>
      </c>
      <c r="M37">
        <v>5</v>
      </c>
      <c r="N37" t="s">
        <v>98</v>
      </c>
      <c r="O37" t="s">
        <v>99</v>
      </c>
    </row>
    <row r="38" spans="1:15" x14ac:dyDescent="0.3">
      <c r="A38">
        <v>43512432</v>
      </c>
      <c r="B38">
        <v>1</v>
      </c>
      <c r="C38">
        <v>117</v>
      </c>
      <c r="D38">
        <v>22</v>
      </c>
      <c r="E38">
        <v>3</v>
      </c>
      <c r="F38">
        <v>1</v>
      </c>
      <c r="G38">
        <v>0</v>
      </c>
      <c r="H38">
        <v>144</v>
      </c>
      <c r="I38" t="s">
        <v>100</v>
      </c>
      <c r="J38">
        <v>112</v>
      </c>
      <c r="K38">
        <v>144</v>
      </c>
      <c r="L38">
        <v>2</v>
      </c>
      <c r="M38">
        <v>5</v>
      </c>
      <c r="N38" t="s">
        <v>101</v>
      </c>
      <c r="O38" t="s">
        <v>102</v>
      </c>
    </row>
    <row r="39" spans="1:15" x14ac:dyDescent="0.3">
      <c r="A39">
        <v>43539274</v>
      </c>
      <c r="B39">
        <v>1</v>
      </c>
      <c r="C39">
        <v>110</v>
      </c>
      <c r="D39">
        <v>24</v>
      </c>
      <c r="E39">
        <v>4</v>
      </c>
      <c r="F39">
        <v>1</v>
      </c>
      <c r="G39">
        <v>0</v>
      </c>
      <c r="H39">
        <v>140</v>
      </c>
      <c r="I39" t="s">
        <v>103</v>
      </c>
      <c r="J39">
        <v>103</v>
      </c>
      <c r="K39">
        <v>140</v>
      </c>
      <c r="L39">
        <v>0</v>
      </c>
      <c r="M39">
        <v>11</v>
      </c>
      <c r="N39" t="s">
        <v>19</v>
      </c>
      <c r="O39" t="s">
        <v>104</v>
      </c>
    </row>
    <row r="40" spans="1:15" x14ac:dyDescent="0.3">
      <c r="A40">
        <v>43566043</v>
      </c>
      <c r="B40">
        <v>1</v>
      </c>
      <c r="C40">
        <v>107</v>
      </c>
      <c r="D40">
        <v>28</v>
      </c>
      <c r="E40">
        <v>3</v>
      </c>
      <c r="F40">
        <v>1</v>
      </c>
      <c r="G40">
        <v>0</v>
      </c>
      <c r="H40">
        <v>140</v>
      </c>
      <c r="I40" t="s">
        <v>105</v>
      </c>
      <c r="J40">
        <v>99</v>
      </c>
      <c r="K40">
        <v>140</v>
      </c>
      <c r="L40">
        <v>1</v>
      </c>
      <c r="M40">
        <v>11</v>
      </c>
      <c r="N40" t="s">
        <v>106</v>
      </c>
      <c r="O40" t="s">
        <v>104</v>
      </c>
    </row>
    <row r="41" spans="1:15" x14ac:dyDescent="0.3">
      <c r="A41">
        <v>43593087</v>
      </c>
      <c r="B41">
        <v>1</v>
      </c>
      <c r="C41">
        <v>97</v>
      </c>
      <c r="D41">
        <v>26</v>
      </c>
      <c r="E41">
        <v>0</v>
      </c>
      <c r="F41">
        <v>1</v>
      </c>
      <c r="G41">
        <v>0</v>
      </c>
      <c r="H41">
        <v>125</v>
      </c>
      <c r="I41" t="s">
        <v>107</v>
      </c>
      <c r="J41">
        <v>92</v>
      </c>
      <c r="K41">
        <v>125</v>
      </c>
      <c r="L41">
        <v>0</v>
      </c>
      <c r="M41">
        <v>8</v>
      </c>
      <c r="N41" t="s">
        <v>19</v>
      </c>
      <c r="O41" t="s">
        <v>108</v>
      </c>
    </row>
    <row r="42" spans="1:15" x14ac:dyDescent="0.3">
      <c r="A42">
        <v>43614456</v>
      </c>
      <c r="B42">
        <v>1</v>
      </c>
      <c r="C42">
        <v>68</v>
      </c>
      <c r="D42">
        <v>20</v>
      </c>
      <c r="E42">
        <v>2</v>
      </c>
      <c r="F42">
        <v>2</v>
      </c>
      <c r="G42">
        <v>1</v>
      </c>
      <c r="H42">
        <v>94</v>
      </c>
      <c r="I42" t="s">
        <v>109</v>
      </c>
      <c r="J42">
        <v>61</v>
      </c>
      <c r="K42">
        <v>94</v>
      </c>
      <c r="L42">
        <v>1</v>
      </c>
      <c r="M42">
        <v>12</v>
      </c>
      <c r="N42" t="s">
        <v>110</v>
      </c>
      <c r="O42" t="s">
        <v>111</v>
      </c>
    </row>
    <row r="43" spans="1:15" x14ac:dyDescent="0.3">
      <c r="A43">
        <v>43674483</v>
      </c>
      <c r="B43">
        <v>1</v>
      </c>
      <c r="C43">
        <v>84</v>
      </c>
      <c r="D43">
        <v>13</v>
      </c>
      <c r="E43">
        <v>3</v>
      </c>
      <c r="F43">
        <v>0</v>
      </c>
      <c r="G43">
        <v>0</v>
      </c>
      <c r="H43">
        <v>101</v>
      </c>
      <c r="I43" t="s">
        <v>112</v>
      </c>
      <c r="J43">
        <v>79</v>
      </c>
      <c r="K43">
        <v>101</v>
      </c>
      <c r="L43">
        <v>1</v>
      </c>
      <c r="M43">
        <v>6</v>
      </c>
      <c r="N43" t="s">
        <v>113</v>
      </c>
      <c r="O43" t="s">
        <v>88</v>
      </c>
    </row>
    <row r="44" spans="1:15" x14ac:dyDescent="0.3">
      <c r="A44">
        <v>43701630</v>
      </c>
      <c r="B44">
        <v>1</v>
      </c>
      <c r="C44">
        <v>93</v>
      </c>
      <c r="D44">
        <v>19</v>
      </c>
      <c r="E44">
        <v>3</v>
      </c>
      <c r="F44">
        <v>2</v>
      </c>
      <c r="G44">
        <v>0</v>
      </c>
      <c r="H44">
        <v>118</v>
      </c>
      <c r="I44" t="s">
        <v>114</v>
      </c>
      <c r="J44">
        <v>88</v>
      </c>
      <c r="K44">
        <v>118</v>
      </c>
      <c r="L44">
        <v>0</v>
      </c>
      <c r="M44">
        <v>7</v>
      </c>
      <c r="N44" t="s">
        <v>19</v>
      </c>
      <c r="O44" t="s">
        <v>115</v>
      </c>
    </row>
    <row r="45" spans="1:15" x14ac:dyDescent="0.3">
      <c r="A45">
        <v>43729827</v>
      </c>
      <c r="B45">
        <v>1</v>
      </c>
      <c r="C45">
        <v>87</v>
      </c>
      <c r="D45">
        <v>26</v>
      </c>
      <c r="E45">
        <v>3</v>
      </c>
      <c r="F45">
        <v>1</v>
      </c>
      <c r="G45">
        <v>0</v>
      </c>
      <c r="H45">
        <v>118</v>
      </c>
      <c r="I45" t="s">
        <v>116</v>
      </c>
      <c r="J45">
        <v>82</v>
      </c>
      <c r="K45">
        <v>118</v>
      </c>
      <c r="L45">
        <v>0</v>
      </c>
      <c r="M45">
        <v>3</v>
      </c>
      <c r="N45" t="s">
        <v>19</v>
      </c>
      <c r="O45" t="s">
        <v>117</v>
      </c>
    </row>
    <row r="46" spans="1:15" x14ac:dyDescent="0.3">
      <c r="A46">
        <v>43756635</v>
      </c>
      <c r="B46">
        <v>1</v>
      </c>
      <c r="C46">
        <v>63</v>
      </c>
      <c r="D46">
        <v>28</v>
      </c>
      <c r="E46">
        <v>5</v>
      </c>
      <c r="F46">
        <v>0</v>
      </c>
      <c r="G46">
        <v>0</v>
      </c>
      <c r="H46">
        <v>97</v>
      </c>
      <c r="I46" t="s">
        <v>118</v>
      </c>
      <c r="J46">
        <v>58</v>
      </c>
      <c r="K46">
        <v>97</v>
      </c>
      <c r="L46">
        <v>0</v>
      </c>
      <c r="M46">
        <v>5</v>
      </c>
      <c r="N46" t="s">
        <v>19</v>
      </c>
      <c r="O46" t="s">
        <v>119</v>
      </c>
    </row>
    <row r="47" spans="1:15" x14ac:dyDescent="0.3">
      <c r="A47">
        <v>43783789</v>
      </c>
      <c r="B47">
        <v>1</v>
      </c>
      <c r="C47">
        <v>100</v>
      </c>
      <c r="D47">
        <v>15</v>
      </c>
      <c r="E47">
        <v>0</v>
      </c>
      <c r="F47">
        <v>0</v>
      </c>
      <c r="G47">
        <v>0</v>
      </c>
      <c r="H47">
        <v>116</v>
      </c>
      <c r="I47" t="s">
        <v>120</v>
      </c>
      <c r="J47">
        <v>95</v>
      </c>
      <c r="K47">
        <v>116</v>
      </c>
      <c r="L47">
        <v>2</v>
      </c>
      <c r="M47">
        <v>6</v>
      </c>
      <c r="N47" t="s">
        <v>121</v>
      </c>
      <c r="O47" t="s">
        <v>122</v>
      </c>
    </row>
    <row r="48" spans="1:15" x14ac:dyDescent="0.3">
      <c r="A48">
        <v>43811059</v>
      </c>
      <c r="B48">
        <v>1</v>
      </c>
      <c r="C48">
        <v>35</v>
      </c>
      <c r="D48">
        <v>14</v>
      </c>
      <c r="E48">
        <v>3</v>
      </c>
      <c r="F48">
        <v>1</v>
      </c>
      <c r="G48">
        <v>0</v>
      </c>
      <c r="H48">
        <v>54</v>
      </c>
      <c r="I48" t="s">
        <v>123</v>
      </c>
      <c r="J48">
        <v>30</v>
      </c>
      <c r="K48">
        <v>54</v>
      </c>
      <c r="L48">
        <v>0</v>
      </c>
      <c r="M48">
        <v>8</v>
      </c>
      <c r="N48" t="s">
        <v>19</v>
      </c>
      <c r="O48" t="s">
        <v>124</v>
      </c>
    </row>
    <row r="49" spans="1:15" x14ac:dyDescent="0.3">
      <c r="A49">
        <v>43862968</v>
      </c>
      <c r="B49">
        <v>1</v>
      </c>
      <c r="C49">
        <v>117</v>
      </c>
      <c r="D49">
        <v>23</v>
      </c>
      <c r="E49">
        <v>1</v>
      </c>
      <c r="F49">
        <v>1</v>
      </c>
      <c r="G49">
        <v>1</v>
      </c>
      <c r="H49">
        <v>144</v>
      </c>
      <c r="I49" t="s">
        <v>100</v>
      </c>
      <c r="J49">
        <v>70</v>
      </c>
      <c r="K49">
        <v>144</v>
      </c>
      <c r="L49">
        <v>1</v>
      </c>
      <c r="M49">
        <v>10</v>
      </c>
      <c r="N49" t="s">
        <v>125</v>
      </c>
      <c r="O49" t="s">
        <v>126</v>
      </c>
    </row>
    <row r="50" spans="1:15" x14ac:dyDescent="0.3">
      <c r="A50">
        <v>43891958</v>
      </c>
      <c r="B50">
        <v>1</v>
      </c>
      <c r="C50">
        <v>87</v>
      </c>
      <c r="D50">
        <v>30</v>
      </c>
      <c r="E50">
        <v>3</v>
      </c>
      <c r="F50">
        <v>0</v>
      </c>
      <c r="G50">
        <v>0</v>
      </c>
      <c r="H50">
        <v>121</v>
      </c>
      <c r="I50" t="s">
        <v>127</v>
      </c>
      <c r="J50">
        <v>82</v>
      </c>
      <c r="K50">
        <v>121</v>
      </c>
      <c r="L50">
        <v>1</v>
      </c>
      <c r="M50">
        <v>4</v>
      </c>
      <c r="N50" t="s">
        <v>128</v>
      </c>
      <c r="O50" t="s">
        <v>129</v>
      </c>
    </row>
    <row r="51" spans="1:15" x14ac:dyDescent="0.3">
      <c r="A51">
        <v>43920615</v>
      </c>
      <c r="B51">
        <v>1</v>
      </c>
      <c r="C51">
        <v>96</v>
      </c>
      <c r="D51">
        <v>27</v>
      </c>
      <c r="E51">
        <v>1</v>
      </c>
      <c r="F51">
        <v>1</v>
      </c>
      <c r="G51">
        <v>0</v>
      </c>
      <c r="H51">
        <v>126</v>
      </c>
      <c r="I51" t="s">
        <v>130</v>
      </c>
      <c r="J51">
        <v>91</v>
      </c>
      <c r="K51">
        <v>126</v>
      </c>
      <c r="L51">
        <v>0</v>
      </c>
      <c r="M51">
        <v>8</v>
      </c>
      <c r="N51" t="s">
        <v>19</v>
      </c>
      <c r="O51" t="s">
        <v>131</v>
      </c>
    </row>
    <row r="52" spans="1:15" x14ac:dyDescent="0.3">
      <c r="A52">
        <v>43949404</v>
      </c>
      <c r="B52">
        <v>1</v>
      </c>
      <c r="C52">
        <v>79</v>
      </c>
      <c r="D52">
        <v>26</v>
      </c>
      <c r="E52">
        <v>3</v>
      </c>
      <c r="F52">
        <v>1</v>
      </c>
      <c r="G52">
        <v>0</v>
      </c>
      <c r="H52">
        <v>110</v>
      </c>
      <c r="I52" t="s">
        <v>132</v>
      </c>
      <c r="J52">
        <v>74</v>
      </c>
      <c r="K52">
        <v>110</v>
      </c>
      <c r="L52">
        <v>0</v>
      </c>
      <c r="M52">
        <v>5</v>
      </c>
      <c r="N52" t="s">
        <v>19</v>
      </c>
      <c r="O52" t="s">
        <v>133</v>
      </c>
    </row>
    <row r="53" spans="1:15" x14ac:dyDescent="0.3">
      <c r="A53">
        <v>43978801</v>
      </c>
      <c r="B53">
        <v>1</v>
      </c>
      <c r="C53">
        <v>65</v>
      </c>
      <c r="D53">
        <v>19</v>
      </c>
      <c r="E53">
        <v>1</v>
      </c>
      <c r="F53">
        <v>1</v>
      </c>
      <c r="G53">
        <v>0</v>
      </c>
      <c r="H53">
        <v>87</v>
      </c>
      <c r="I53" t="s">
        <v>134</v>
      </c>
      <c r="J53">
        <v>60</v>
      </c>
      <c r="K53">
        <v>87</v>
      </c>
      <c r="L53">
        <v>0</v>
      </c>
      <c r="M53">
        <v>12</v>
      </c>
      <c r="N53" t="s">
        <v>19</v>
      </c>
      <c r="O53" t="s">
        <v>135</v>
      </c>
    </row>
    <row r="54" spans="1:15" x14ac:dyDescent="0.3">
      <c r="A54">
        <v>44010401</v>
      </c>
      <c r="B54">
        <v>1</v>
      </c>
      <c r="C54">
        <v>62</v>
      </c>
      <c r="D54">
        <v>36</v>
      </c>
      <c r="E54">
        <v>2</v>
      </c>
      <c r="F54">
        <v>2</v>
      </c>
      <c r="G54">
        <v>0</v>
      </c>
      <c r="H54">
        <v>103</v>
      </c>
      <c r="I54" t="s">
        <v>136</v>
      </c>
      <c r="J54">
        <v>41</v>
      </c>
      <c r="K54">
        <v>103</v>
      </c>
      <c r="L54">
        <v>0</v>
      </c>
      <c r="M54">
        <v>5</v>
      </c>
      <c r="N54" t="s">
        <v>19</v>
      </c>
      <c r="O54" t="s">
        <v>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69C44-9290-4737-9F0B-0C3018274525}">
  <sheetPr filterMode="1"/>
  <dimension ref="A1:G54"/>
  <sheetViews>
    <sheetView topLeftCell="A27" workbookViewId="0"/>
  </sheetViews>
  <sheetFormatPr defaultRowHeight="14.4" x14ac:dyDescent="0.3"/>
  <sheetData>
    <row r="1" spans="1:7" x14ac:dyDescent="0.3">
      <c r="A1" t="s">
        <v>0</v>
      </c>
      <c r="B1" t="s">
        <v>138</v>
      </c>
      <c r="C1" t="s">
        <v>140</v>
      </c>
      <c r="G1" t="s">
        <v>141</v>
      </c>
    </row>
    <row r="2" spans="1:7" x14ac:dyDescent="0.3">
      <c r="A2">
        <v>42372845</v>
      </c>
      <c r="B2">
        <f>_xlfn.XLOOKUP(A2,$G$2:$G$43,$G$2:$G$43)</f>
        <v>42372845</v>
      </c>
      <c r="C2" t="e">
        <f>_xlfn.XLOOKUP(A2,'16 Acct given'!$A$2:$A$17,'16 Acct given'!$A$2:$A$17)</f>
        <v>#N/A</v>
      </c>
      <c r="G2">
        <v>32318884</v>
      </c>
    </row>
    <row r="3" spans="1:7" x14ac:dyDescent="0.3">
      <c r="A3">
        <v>42381392</v>
      </c>
      <c r="B3">
        <f t="shared" ref="B3:B54" si="0">_xlfn.XLOOKUP(A3,$G$2:$G$43,$G$2:$G$43)</f>
        <v>42381392</v>
      </c>
      <c r="C3" t="e">
        <f>_xlfn.XLOOKUP(A3,'16 Acct given'!$A$2:$A$17,'16 Acct given'!$A$2:$A$17)</f>
        <v>#N/A</v>
      </c>
      <c r="G3">
        <v>42372845</v>
      </c>
    </row>
    <row r="4" spans="1:7" x14ac:dyDescent="0.3">
      <c r="A4">
        <v>42406507</v>
      </c>
      <c r="B4">
        <f t="shared" si="0"/>
        <v>42406507</v>
      </c>
      <c r="C4" t="e">
        <f>_xlfn.XLOOKUP(A4,'16 Acct given'!$A$2:$A$17,'16 Acct given'!$A$2:$A$17)</f>
        <v>#N/A</v>
      </c>
      <c r="G4">
        <v>42381392</v>
      </c>
    </row>
    <row r="5" spans="1:7" x14ac:dyDescent="0.3">
      <c r="A5">
        <v>42426592</v>
      </c>
      <c r="B5">
        <f t="shared" si="0"/>
        <v>42426592</v>
      </c>
      <c r="C5" t="e">
        <f>_xlfn.XLOOKUP(A5,'16 Acct given'!$A$2:$A$17,'16 Acct given'!$A$2:$A$17)</f>
        <v>#N/A</v>
      </c>
      <c r="G5">
        <v>42406507</v>
      </c>
    </row>
    <row r="6" spans="1:7" x14ac:dyDescent="0.3">
      <c r="A6">
        <v>42426641</v>
      </c>
      <c r="B6">
        <f t="shared" si="0"/>
        <v>42426641</v>
      </c>
      <c r="C6" t="e">
        <f>_xlfn.XLOOKUP(A6,'16 Acct given'!$A$2:$A$17,'16 Acct given'!$A$2:$A$17)</f>
        <v>#N/A</v>
      </c>
      <c r="G6">
        <v>42426592</v>
      </c>
    </row>
    <row r="7" spans="1:7" x14ac:dyDescent="0.3">
      <c r="A7">
        <v>42458992</v>
      </c>
      <c r="B7">
        <f t="shared" si="0"/>
        <v>42458992</v>
      </c>
      <c r="C7" t="e">
        <f>_xlfn.XLOOKUP(A7,'16 Acct given'!$A$2:$A$17,'16 Acct given'!$A$2:$A$17)</f>
        <v>#N/A</v>
      </c>
      <c r="G7">
        <v>42426641</v>
      </c>
    </row>
    <row r="8" spans="1:7" x14ac:dyDescent="0.3">
      <c r="A8">
        <v>42459041</v>
      </c>
      <c r="B8">
        <f t="shared" si="0"/>
        <v>42459041</v>
      </c>
      <c r="C8" t="e">
        <f>_xlfn.XLOOKUP(A8,'16 Acct given'!$A$2:$A$17,'16 Acct given'!$A$2:$A$17)</f>
        <v>#N/A</v>
      </c>
      <c r="G8">
        <v>42458992</v>
      </c>
    </row>
    <row r="9" spans="1:7" x14ac:dyDescent="0.3">
      <c r="A9">
        <v>42459099</v>
      </c>
      <c r="B9">
        <f t="shared" si="0"/>
        <v>42459099</v>
      </c>
      <c r="C9" t="e">
        <f>_xlfn.XLOOKUP(A9,'16 Acct given'!$A$2:$A$17,'16 Acct given'!$A$2:$A$17)</f>
        <v>#N/A</v>
      </c>
      <c r="G9">
        <v>42459041</v>
      </c>
    </row>
    <row r="10" spans="1:7" hidden="1" x14ac:dyDescent="0.3">
      <c r="A10">
        <v>42459206</v>
      </c>
      <c r="B10" t="e">
        <f t="shared" si="0"/>
        <v>#N/A</v>
      </c>
      <c r="C10">
        <f>_xlfn.XLOOKUP(A10,'16 Acct given'!$A$2:$A$17,'16 Acct given'!$A$2:$A$17)</f>
        <v>42459206</v>
      </c>
      <c r="G10">
        <v>42459099</v>
      </c>
    </row>
    <row r="11" spans="1:7" x14ac:dyDescent="0.3">
      <c r="A11">
        <v>42459241</v>
      </c>
      <c r="B11">
        <f t="shared" si="0"/>
        <v>42459241</v>
      </c>
      <c r="C11" t="e">
        <f>_xlfn.XLOOKUP(A11,'16 Acct given'!$A$2:$A$17,'16 Acct given'!$A$2:$A$17)</f>
        <v>#N/A</v>
      </c>
      <c r="G11">
        <v>42459241</v>
      </c>
    </row>
    <row r="12" spans="1:7" x14ac:dyDescent="0.3">
      <c r="A12">
        <v>42459298</v>
      </c>
      <c r="B12">
        <f t="shared" si="0"/>
        <v>42459298</v>
      </c>
      <c r="C12" t="e">
        <f>_xlfn.XLOOKUP(A12,'16 Acct given'!$A$2:$A$17,'16 Acct given'!$A$2:$A$17)</f>
        <v>#N/A</v>
      </c>
      <c r="G12">
        <v>42459298</v>
      </c>
    </row>
    <row r="13" spans="1:7" x14ac:dyDescent="0.3">
      <c r="A13">
        <v>42463024</v>
      </c>
      <c r="B13">
        <f t="shared" si="0"/>
        <v>42463024</v>
      </c>
      <c r="C13" t="e">
        <f>_xlfn.XLOOKUP(A13,'16 Acct given'!$A$2:$A$17,'16 Acct given'!$A$2:$A$17)</f>
        <v>#N/A</v>
      </c>
      <c r="G13">
        <v>42463024</v>
      </c>
    </row>
    <row r="14" spans="1:7" x14ac:dyDescent="0.3">
      <c r="A14">
        <v>42463063</v>
      </c>
      <c r="B14">
        <f t="shared" si="0"/>
        <v>42463063</v>
      </c>
      <c r="C14" t="e">
        <f>_xlfn.XLOOKUP(A14,'16 Acct given'!$A$2:$A$17,'16 Acct given'!$A$2:$A$17)</f>
        <v>#N/A</v>
      </c>
      <c r="G14">
        <v>42463063</v>
      </c>
    </row>
    <row r="15" spans="1:7" hidden="1" x14ac:dyDescent="0.3">
      <c r="A15">
        <v>42598944</v>
      </c>
      <c r="B15" t="e">
        <f t="shared" si="0"/>
        <v>#N/A</v>
      </c>
      <c r="C15">
        <f>_xlfn.XLOOKUP(A15,'16 Acct given'!$A$2:$A$17,'16 Acct given'!$A$2:$A$17)</f>
        <v>42598944</v>
      </c>
      <c r="G15">
        <v>42705635</v>
      </c>
    </row>
    <row r="16" spans="1:7" x14ac:dyDescent="0.3">
      <c r="A16">
        <v>42705635</v>
      </c>
      <c r="B16">
        <f t="shared" si="0"/>
        <v>42705635</v>
      </c>
      <c r="C16" t="e">
        <f>_xlfn.XLOOKUP(A16,'16 Acct given'!$A$2:$A$17,'16 Acct given'!$A$2:$A$17)</f>
        <v>#N/A</v>
      </c>
      <c r="G16">
        <v>42731028</v>
      </c>
    </row>
    <row r="17" spans="1:7" x14ac:dyDescent="0.3">
      <c r="A17">
        <v>42731028</v>
      </c>
      <c r="B17">
        <f t="shared" si="0"/>
        <v>42731028</v>
      </c>
      <c r="C17" t="e">
        <f>_xlfn.XLOOKUP(A17,'16 Acct given'!$A$2:$A$17,'16 Acct given'!$A$2:$A$17)</f>
        <v>#N/A</v>
      </c>
      <c r="G17">
        <v>42913719</v>
      </c>
    </row>
    <row r="18" spans="1:7" hidden="1" x14ac:dyDescent="0.3">
      <c r="A18">
        <v>42758642</v>
      </c>
      <c r="B18" t="e">
        <f t="shared" si="0"/>
        <v>#N/A</v>
      </c>
      <c r="C18">
        <f>_xlfn.XLOOKUP(A18,'16 Acct given'!$A$2:$A$17,'16 Acct given'!$A$2:$A$17)</f>
        <v>42758642</v>
      </c>
      <c r="G18">
        <v>42971568</v>
      </c>
    </row>
    <row r="19" spans="1:7" hidden="1" x14ac:dyDescent="0.3">
      <c r="A19">
        <v>42787717</v>
      </c>
      <c r="B19" t="e">
        <f t="shared" si="0"/>
        <v>#N/A</v>
      </c>
      <c r="C19">
        <f>_xlfn.XLOOKUP(A19,'16 Acct given'!$A$2:$A$17,'16 Acct given'!$A$2:$A$17)</f>
        <v>42787717</v>
      </c>
      <c r="G19">
        <v>42997602</v>
      </c>
    </row>
    <row r="20" spans="1:7" hidden="1" x14ac:dyDescent="0.3">
      <c r="A20">
        <v>42814075</v>
      </c>
      <c r="B20" t="e">
        <f t="shared" si="0"/>
        <v>#N/A</v>
      </c>
      <c r="C20">
        <f>_xlfn.XLOOKUP(A20,'16 Acct given'!$A$2:$A$17,'16 Acct given'!$A$2:$A$17)</f>
        <v>42814075</v>
      </c>
      <c r="G20">
        <v>43022614</v>
      </c>
    </row>
    <row r="21" spans="1:7" x14ac:dyDescent="0.3">
      <c r="A21">
        <v>42913719</v>
      </c>
      <c r="B21">
        <f t="shared" si="0"/>
        <v>42913719</v>
      </c>
      <c r="C21" t="e">
        <f>_xlfn.XLOOKUP(A21,'16 Acct given'!$A$2:$A$17,'16 Acct given'!$A$2:$A$17)</f>
        <v>#N/A</v>
      </c>
      <c r="G21">
        <v>43081554</v>
      </c>
    </row>
    <row r="22" spans="1:7" x14ac:dyDescent="0.3">
      <c r="A22">
        <v>42971568</v>
      </c>
      <c r="B22">
        <f t="shared" si="0"/>
        <v>42971568</v>
      </c>
      <c r="C22" t="e">
        <f>_xlfn.XLOOKUP(A22,'16 Acct given'!$A$2:$A$17,'16 Acct given'!$A$2:$A$17)</f>
        <v>#N/A</v>
      </c>
      <c r="G22">
        <v>43110506</v>
      </c>
    </row>
    <row r="23" spans="1:7" x14ac:dyDescent="0.3">
      <c r="A23">
        <v>42997602</v>
      </c>
      <c r="B23">
        <f t="shared" si="0"/>
        <v>42997602</v>
      </c>
      <c r="C23" t="e">
        <f>_xlfn.XLOOKUP(A23,'16 Acct given'!$A$2:$A$17,'16 Acct given'!$A$2:$A$17)</f>
        <v>#N/A</v>
      </c>
      <c r="G23">
        <v>43138108</v>
      </c>
    </row>
    <row r="24" spans="1:7" x14ac:dyDescent="0.3">
      <c r="A24">
        <v>43022614</v>
      </c>
      <c r="B24">
        <f t="shared" si="0"/>
        <v>43022614</v>
      </c>
      <c r="C24" t="e">
        <f>_xlfn.XLOOKUP(A24,'16 Acct given'!$A$2:$A$17,'16 Acct given'!$A$2:$A$17)</f>
        <v>#N/A</v>
      </c>
      <c r="G24">
        <v>43166702</v>
      </c>
    </row>
    <row r="25" spans="1:7" x14ac:dyDescent="0.3">
      <c r="A25">
        <v>43081554</v>
      </c>
      <c r="B25">
        <f t="shared" si="0"/>
        <v>43081554</v>
      </c>
      <c r="C25" t="e">
        <f>_xlfn.XLOOKUP(A25,'16 Acct given'!$A$2:$A$17,'16 Acct given'!$A$2:$A$17)</f>
        <v>#N/A</v>
      </c>
      <c r="G25">
        <v>8200826</v>
      </c>
    </row>
    <row r="26" spans="1:7" x14ac:dyDescent="0.3">
      <c r="A26">
        <v>43110506</v>
      </c>
      <c r="B26">
        <f t="shared" si="0"/>
        <v>43110506</v>
      </c>
      <c r="C26" t="e">
        <f>_xlfn.XLOOKUP(A26,'16 Acct given'!$A$2:$A$17,'16 Acct given'!$A$2:$A$17)</f>
        <v>#N/A</v>
      </c>
      <c r="G26">
        <v>43230061</v>
      </c>
    </row>
    <row r="27" spans="1:7" x14ac:dyDescent="0.3">
      <c r="A27">
        <v>43138108</v>
      </c>
      <c r="B27">
        <f t="shared" si="0"/>
        <v>43138108</v>
      </c>
      <c r="C27" t="e">
        <f>_xlfn.XLOOKUP(A27,'16 Acct given'!$A$2:$A$17,'16 Acct given'!$A$2:$A$17)</f>
        <v>#N/A</v>
      </c>
      <c r="G27">
        <v>43290314</v>
      </c>
    </row>
    <row r="28" spans="1:7" x14ac:dyDescent="0.3">
      <c r="A28">
        <v>43166702</v>
      </c>
      <c r="B28">
        <f t="shared" si="0"/>
        <v>43166702</v>
      </c>
      <c r="C28" t="e">
        <f>_xlfn.XLOOKUP(A28,'16 Acct given'!$A$2:$A$17,'16 Acct given'!$A$2:$A$17)</f>
        <v>#N/A</v>
      </c>
      <c r="G28">
        <v>43319297</v>
      </c>
    </row>
    <row r="29" spans="1:7" x14ac:dyDescent="0.3">
      <c r="A29">
        <v>8200826</v>
      </c>
      <c r="B29">
        <f t="shared" si="0"/>
        <v>8200826</v>
      </c>
      <c r="C29" t="e">
        <f>_xlfn.XLOOKUP(A29,'16 Acct given'!$A$2:$A$17,'16 Acct given'!$A$2:$A$17)</f>
        <v>#N/A</v>
      </c>
      <c r="G29">
        <v>43346700</v>
      </c>
    </row>
    <row r="30" spans="1:7" x14ac:dyDescent="0.3">
      <c r="A30">
        <v>43230061</v>
      </c>
      <c r="B30">
        <f t="shared" si="0"/>
        <v>43230061</v>
      </c>
      <c r="C30" t="e">
        <f>_xlfn.XLOOKUP(A30,'16 Acct given'!$A$2:$A$17,'16 Acct given'!$A$2:$A$17)</f>
        <v>#N/A</v>
      </c>
      <c r="G30">
        <v>43374604</v>
      </c>
    </row>
    <row r="31" spans="1:7" x14ac:dyDescent="0.3">
      <c r="A31">
        <v>43290314</v>
      </c>
      <c r="B31">
        <f t="shared" si="0"/>
        <v>43290314</v>
      </c>
      <c r="C31" t="e">
        <f>_xlfn.XLOOKUP(A31,'16 Acct given'!$A$2:$A$17,'16 Acct given'!$A$2:$A$17)</f>
        <v>#N/A</v>
      </c>
      <c r="G31">
        <v>43402439</v>
      </c>
    </row>
    <row r="32" spans="1:7" x14ac:dyDescent="0.3">
      <c r="A32">
        <v>43319297</v>
      </c>
      <c r="B32">
        <f t="shared" si="0"/>
        <v>43319297</v>
      </c>
      <c r="C32" t="e">
        <f>_xlfn.XLOOKUP(A32,'16 Acct given'!$A$2:$A$17,'16 Acct given'!$A$2:$A$17)</f>
        <v>#N/A</v>
      </c>
      <c r="G32">
        <v>43430885</v>
      </c>
    </row>
    <row r="33" spans="1:7" x14ac:dyDescent="0.3">
      <c r="A33">
        <v>43346700</v>
      </c>
      <c r="B33">
        <f t="shared" si="0"/>
        <v>43346700</v>
      </c>
      <c r="C33" t="e">
        <f>_xlfn.XLOOKUP(A33,'16 Acct given'!$A$2:$A$17,'16 Acct given'!$A$2:$A$17)</f>
        <v>#N/A</v>
      </c>
      <c r="G33">
        <v>43539274</v>
      </c>
    </row>
    <row r="34" spans="1:7" x14ac:dyDescent="0.3">
      <c r="A34">
        <v>43374604</v>
      </c>
      <c r="B34">
        <f t="shared" si="0"/>
        <v>43374604</v>
      </c>
      <c r="C34" t="e">
        <f>_xlfn.XLOOKUP(A34,'16 Acct given'!$A$2:$A$17,'16 Acct given'!$A$2:$A$17)</f>
        <v>#N/A</v>
      </c>
      <c r="G34">
        <v>43566043</v>
      </c>
    </row>
    <row r="35" spans="1:7" x14ac:dyDescent="0.3">
      <c r="A35">
        <v>43402439</v>
      </c>
      <c r="B35">
        <f t="shared" si="0"/>
        <v>43402439</v>
      </c>
      <c r="C35" t="e">
        <f>_xlfn.XLOOKUP(A35,'16 Acct given'!$A$2:$A$17,'16 Acct given'!$A$2:$A$17)</f>
        <v>#N/A</v>
      </c>
      <c r="G35">
        <v>43593087</v>
      </c>
    </row>
    <row r="36" spans="1:7" x14ac:dyDescent="0.3">
      <c r="A36">
        <v>43430885</v>
      </c>
      <c r="B36">
        <f t="shared" si="0"/>
        <v>43430885</v>
      </c>
      <c r="C36" t="e">
        <f>_xlfn.XLOOKUP(A36,'16 Acct given'!$A$2:$A$17,'16 Acct given'!$A$2:$A$17)</f>
        <v>#N/A</v>
      </c>
      <c r="G36">
        <v>43614456</v>
      </c>
    </row>
    <row r="37" spans="1:7" hidden="1" x14ac:dyDescent="0.3">
      <c r="A37">
        <v>43485077</v>
      </c>
      <c r="B37" t="e">
        <f t="shared" si="0"/>
        <v>#N/A</v>
      </c>
      <c r="C37">
        <f>_xlfn.XLOOKUP(A37,'16 Acct given'!$A$2:$A$17,'16 Acct given'!$A$2:$A$17)</f>
        <v>43485077</v>
      </c>
      <c r="G37">
        <v>43674483</v>
      </c>
    </row>
    <row r="38" spans="1:7" hidden="1" x14ac:dyDescent="0.3">
      <c r="A38">
        <v>43512432</v>
      </c>
      <c r="B38" t="e">
        <f t="shared" si="0"/>
        <v>#N/A</v>
      </c>
      <c r="C38">
        <f>_xlfn.XLOOKUP(A38,'16 Acct given'!$A$2:$A$17,'16 Acct given'!$A$2:$A$17)</f>
        <v>43512432</v>
      </c>
      <c r="G38">
        <v>43862968</v>
      </c>
    </row>
    <row r="39" spans="1:7" x14ac:dyDescent="0.3">
      <c r="A39">
        <v>43539274</v>
      </c>
      <c r="B39">
        <f t="shared" si="0"/>
        <v>43539274</v>
      </c>
      <c r="C39" t="e">
        <f>_xlfn.XLOOKUP(A39,'16 Acct given'!$A$2:$A$17,'16 Acct given'!$A$2:$A$17)</f>
        <v>#N/A</v>
      </c>
      <c r="G39">
        <v>43891958</v>
      </c>
    </row>
    <row r="40" spans="1:7" x14ac:dyDescent="0.3">
      <c r="A40">
        <v>43566043</v>
      </c>
      <c r="B40">
        <f t="shared" si="0"/>
        <v>43566043</v>
      </c>
      <c r="C40" t="e">
        <f>_xlfn.XLOOKUP(A40,'16 Acct given'!$A$2:$A$17,'16 Acct given'!$A$2:$A$17)</f>
        <v>#N/A</v>
      </c>
      <c r="G40">
        <v>43920615</v>
      </c>
    </row>
    <row r="41" spans="1:7" x14ac:dyDescent="0.3">
      <c r="A41">
        <v>43593087</v>
      </c>
      <c r="B41">
        <f t="shared" si="0"/>
        <v>43593087</v>
      </c>
      <c r="C41" t="e">
        <f>_xlfn.XLOOKUP(A41,'16 Acct given'!$A$2:$A$17,'16 Acct given'!$A$2:$A$17)</f>
        <v>#N/A</v>
      </c>
      <c r="G41">
        <v>43949404</v>
      </c>
    </row>
    <row r="42" spans="1:7" x14ac:dyDescent="0.3">
      <c r="A42">
        <v>43614456</v>
      </c>
      <c r="B42">
        <f t="shared" si="0"/>
        <v>43614456</v>
      </c>
      <c r="C42" t="e">
        <f>_xlfn.XLOOKUP(A42,'16 Acct given'!$A$2:$A$17,'16 Acct given'!$A$2:$A$17)</f>
        <v>#N/A</v>
      </c>
      <c r="G42">
        <v>43978801</v>
      </c>
    </row>
    <row r="43" spans="1:7" x14ac:dyDescent="0.3">
      <c r="A43">
        <v>43674483</v>
      </c>
      <c r="B43">
        <f t="shared" si="0"/>
        <v>43674483</v>
      </c>
      <c r="C43" t="e">
        <f>_xlfn.XLOOKUP(A43,'16 Acct given'!$A$2:$A$17,'16 Acct given'!$A$2:$A$17)</f>
        <v>#N/A</v>
      </c>
      <c r="G43">
        <v>44010401</v>
      </c>
    </row>
    <row r="44" spans="1:7" hidden="1" x14ac:dyDescent="0.3">
      <c r="A44">
        <v>43701630</v>
      </c>
      <c r="B44" t="e">
        <f t="shared" si="0"/>
        <v>#N/A</v>
      </c>
      <c r="C44">
        <f>_xlfn.XLOOKUP(A44,'16 Acct given'!$A$2:$A$17,'16 Acct given'!$A$2:$A$17)</f>
        <v>43701630</v>
      </c>
    </row>
    <row r="45" spans="1:7" hidden="1" x14ac:dyDescent="0.3">
      <c r="A45">
        <v>43729827</v>
      </c>
      <c r="B45" t="e">
        <f t="shared" si="0"/>
        <v>#N/A</v>
      </c>
      <c r="C45">
        <f>_xlfn.XLOOKUP(A45,'16 Acct given'!$A$2:$A$17,'16 Acct given'!$A$2:$A$17)</f>
        <v>43729827</v>
      </c>
    </row>
    <row r="46" spans="1:7" hidden="1" x14ac:dyDescent="0.3">
      <c r="A46">
        <v>43756635</v>
      </c>
      <c r="B46" t="e">
        <f t="shared" si="0"/>
        <v>#N/A</v>
      </c>
      <c r="C46">
        <f>_xlfn.XLOOKUP(A46,'16 Acct given'!$A$2:$A$17,'16 Acct given'!$A$2:$A$17)</f>
        <v>43756635</v>
      </c>
    </row>
    <row r="47" spans="1:7" hidden="1" x14ac:dyDescent="0.3">
      <c r="A47">
        <v>43783789</v>
      </c>
      <c r="B47" t="e">
        <f t="shared" si="0"/>
        <v>#N/A</v>
      </c>
      <c r="C47">
        <f>_xlfn.XLOOKUP(A47,'16 Acct given'!$A$2:$A$17,'16 Acct given'!$A$2:$A$17)</f>
        <v>43783789</v>
      </c>
    </row>
    <row r="48" spans="1:7" hidden="1" x14ac:dyDescent="0.3">
      <c r="A48">
        <v>43811059</v>
      </c>
      <c r="B48" t="e">
        <f t="shared" si="0"/>
        <v>#N/A</v>
      </c>
      <c r="C48">
        <f>_xlfn.XLOOKUP(A48,'16 Acct given'!$A$2:$A$17,'16 Acct given'!$A$2:$A$17)</f>
        <v>43811059</v>
      </c>
    </row>
    <row r="49" spans="1:3" x14ac:dyDescent="0.3">
      <c r="A49">
        <v>43862968</v>
      </c>
      <c r="B49">
        <f t="shared" si="0"/>
        <v>43862968</v>
      </c>
      <c r="C49" t="e">
        <f>_xlfn.XLOOKUP(A49,'16 Acct given'!$A$2:$A$17,'16 Acct given'!$A$2:$A$17)</f>
        <v>#N/A</v>
      </c>
    </row>
    <row r="50" spans="1:3" x14ac:dyDescent="0.3">
      <c r="A50">
        <v>43891958</v>
      </c>
      <c r="B50">
        <f t="shared" si="0"/>
        <v>43891958</v>
      </c>
      <c r="C50" t="e">
        <f>_xlfn.XLOOKUP(A50,'16 Acct given'!$A$2:$A$17,'16 Acct given'!$A$2:$A$17)</f>
        <v>#N/A</v>
      </c>
    </row>
    <row r="51" spans="1:3" x14ac:dyDescent="0.3">
      <c r="A51">
        <v>43920615</v>
      </c>
      <c r="B51">
        <f t="shared" si="0"/>
        <v>43920615</v>
      </c>
      <c r="C51" t="e">
        <f>_xlfn.XLOOKUP(A51,'16 Acct given'!$A$2:$A$17,'16 Acct given'!$A$2:$A$17)</f>
        <v>#N/A</v>
      </c>
    </row>
    <row r="52" spans="1:3" x14ac:dyDescent="0.3">
      <c r="A52">
        <v>43949404</v>
      </c>
      <c r="B52">
        <f t="shared" si="0"/>
        <v>43949404</v>
      </c>
      <c r="C52" t="e">
        <f>_xlfn.XLOOKUP(A52,'16 Acct given'!$A$2:$A$17,'16 Acct given'!$A$2:$A$17)</f>
        <v>#N/A</v>
      </c>
    </row>
    <row r="53" spans="1:3" x14ac:dyDescent="0.3">
      <c r="A53">
        <v>43978801</v>
      </c>
      <c r="B53">
        <f t="shared" si="0"/>
        <v>43978801</v>
      </c>
      <c r="C53" t="e">
        <f>_xlfn.XLOOKUP(A53,'16 Acct given'!$A$2:$A$17,'16 Acct given'!$A$2:$A$17)</f>
        <v>#N/A</v>
      </c>
    </row>
    <row r="54" spans="1:3" x14ac:dyDescent="0.3">
      <c r="A54">
        <v>44010401</v>
      </c>
      <c r="B54">
        <f t="shared" si="0"/>
        <v>44010401</v>
      </c>
      <c r="C54" t="e">
        <f>_xlfn.XLOOKUP(A54,'16 Acct given'!$A$2:$A$17,'16 Acct given'!$A$2:$A$17)</f>
        <v>#N/A</v>
      </c>
    </row>
  </sheetData>
  <autoFilter ref="A1:C54" xr:uid="{0FB69C44-9290-4737-9F0B-0C3018274525}">
    <filterColumn colId="2">
      <filters>
        <filter val="#N/A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C5FFD-803F-4615-92B9-ED8AA76F7718}">
  <dimension ref="A1:A17"/>
  <sheetViews>
    <sheetView workbookViewId="0">
      <selection activeCell="A16" sqref="A16"/>
    </sheetView>
  </sheetViews>
  <sheetFormatPr defaultRowHeight="14.4" x14ac:dyDescent="0.3"/>
  <sheetData>
    <row r="1" spans="1:1" x14ac:dyDescent="0.3">
      <c r="A1" s="1" t="s">
        <v>139</v>
      </c>
    </row>
    <row r="2" spans="1:1" x14ac:dyDescent="0.3">
      <c r="A2" s="2">
        <v>42814075</v>
      </c>
    </row>
    <row r="3" spans="1:1" x14ac:dyDescent="0.3">
      <c r="A3" s="2">
        <v>42787717</v>
      </c>
    </row>
    <row r="4" spans="1:1" x14ac:dyDescent="0.3">
      <c r="A4" s="2">
        <v>42459206</v>
      </c>
    </row>
    <row r="5" spans="1:1" x14ac:dyDescent="0.3">
      <c r="A5" s="2">
        <v>42758642</v>
      </c>
    </row>
    <row r="6" spans="1:1" x14ac:dyDescent="0.3">
      <c r="A6" s="2">
        <v>42598944</v>
      </c>
    </row>
    <row r="7" spans="1:1" x14ac:dyDescent="0.3">
      <c r="A7" s="2">
        <v>43376946</v>
      </c>
    </row>
    <row r="8" spans="1:1" x14ac:dyDescent="0.3">
      <c r="A8" s="2">
        <v>43485077</v>
      </c>
    </row>
    <row r="9" spans="1:1" x14ac:dyDescent="0.3">
      <c r="A9" s="2">
        <v>43512432</v>
      </c>
    </row>
    <row r="10" spans="1:1" x14ac:dyDescent="0.3">
      <c r="A10" s="2">
        <v>43701630</v>
      </c>
    </row>
    <row r="11" spans="1:1" x14ac:dyDescent="0.3">
      <c r="A11" s="2">
        <v>43729827</v>
      </c>
    </row>
    <row r="12" spans="1:1" x14ac:dyDescent="0.3">
      <c r="A12" s="2">
        <v>13373294</v>
      </c>
    </row>
    <row r="13" spans="1:1" x14ac:dyDescent="0.3">
      <c r="A13" s="2">
        <v>23938356</v>
      </c>
    </row>
    <row r="14" spans="1:1" x14ac:dyDescent="0.3">
      <c r="A14" s="2">
        <v>43756635</v>
      </c>
    </row>
    <row r="15" spans="1:1" x14ac:dyDescent="0.3">
      <c r="A15" s="2">
        <v>43740668</v>
      </c>
    </row>
    <row r="16" spans="1:1" x14ac:dyDescent="0.3">
      <c r="A16" s="2">
        <v>43783789</v>
      </c>
    </row>
    <row r="17" spans="1:1" x14ac:dyDescent="0.3">
      <c r="A17" s="2">
        <v>43811059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21213-75BD-4FA7-95E3-AA92D98AB679}">
  <dimension ref="A1:O42"/>
  <sheetViews>
    <sheetView tabSelected="1" workbookViewId="0">
      <selection activeCell="J2" sqref="J2"/>
    </sheetView>
  </sheetViews>
  <sheetFormatPr defaultRowHeight="14.4" x14ac:dyDescent="0.3"/>
  <cols>
    <col min="1" max="1" width="9" bestFit="1" customWidth="1"/>
    <col min="2" max="2" width="9.5546875" bestFit="1" customWidth="1"/>
    <col min="3" max="3" width="8.109375" bestFit="1" customWidth="1"/>
    <col min="5" max="5" width="8.6640625" bestFit="1" customWidth="1"/>
    <col min="6" max="6" width="9.6640625" bestFit="1" customWidth="1"/>
    <col min="7" max="7" width="7" bestFit="1" customWidth="1"/>
    <col min="8" max="8" width="5.21875" bestFit="1" customWidth="1"/>
    <col min="9" max="9" width="14.21875" bestFit="1" customWidth="1"/>
    <col min="10" max="10" width="13.44140625" bestFit="1" customWidth="1"/>
    <col min="11" max="11" width="16.88671875" bestFit="1" customWidth="1"/>
    <col min="12" max="12" width="19.44140625" bestFit="1" customWidth="1"/>
    <col min="13" max="13" width="16.88671875" bestFit="1" customWidth="1"/>
    <col min="14" max="14" width="14.77734375" bestFit="1" customWidth="1"/>
    <col min="15" max="15" width="15.441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42372845</v>
      </c>
      <c r="B2">
        <f>_xlfn.XLOOKUP($A2,'data compile'!$A$2:$A$54,'data compile'!B$2:B$54)</f>
        <v>1</v>
      </c>
      <c r="C2">
        <f>_xlfn.XLOOKUP($A2,'data compile'!$A$2:$A$54,'data compile'!C$2:C$54)</f>
        <v>19</v>
      </c>
      <c r="D2">
        <f>_xlfn.XLOOKUP($A2,'data compile'!$A$2:$A$54,'data compile'!D$2:D$54)</f>
        <v>10</v>
      </c>
      <c r="E2">
        <f>_xlfn.XLOOKUP($A2,'data compile'!$A$2:$A$54,'data compile'!E$2:E$54)</f>
        <v>7</v>
      </c>
      <c r="F2">
        <f>_xlfn.XLOOKUP($A2,'data compile'!$A$2:$A$54,'data compile'!F$2:F$54)</f>
        <v>0</v>
      </c>
      <c r="G2">
        <f>_xlfn.XLOOKUP($A2,'data compile'!$A$2:$A$54,'data compile'!G$2:G$54)</f>
        <v>0</v>
      </c>
      <c r="H2">
        <f>_xlfn.XLOOKUP($A2,'data compile'!$A$2:$A$54,'data compile'!H$2:H$54)</f>
        <v>37</v>
      </c>
      <c r="I2" t="str">
        <f>_xlfn.XLOOKUP($A2,'data compile'!$A$2:$A$54,'data compile'!I$2:I$54)</f>
        <v>51.35%</v>
      </c>
      <c r="J2">
        <f>_xlfn.XLOOKUP($A2,'data compile'!$A$2:$A$54,'data compile'!J$2:J$54)</f>
        <v>14</v>
      </c>
      <c r="K2">
        <f>_xlfn.XLOOKUP($A2,'data compile'!$A$2:$A$54,'data compile'!K$2:K$54)</f>
        <v>37</v>
      </c>
      <c r="L2">
        <f>_xlfn.XLOOKUP($A2,'data compile'!$A$2:$A$54,'data compile'!L$2:L$54)</f>
        <v>1</v>
      </c>
      <c r="M2">
        <f>_xlfn.XLOOKUP($A2,'data compile'!$A$2:$A$54,'data compile'!M$2:M$54)</f>
        <v>8</v>
      </c>
      <c r="N2" t="str">
        <f>_xlfn.XLOOKUP($A2,'data compile'!$A$2:$A$54,'data compile'!N$2:N$54)</f>
        <v>2.7%</v>
      </c>
      <c r="O2" t="str">
        <f>_xlfn.XLOOKUP($A2,'data compile'!$A$2:$A$54,'data compile'!O$2:O$54)</f>
        <v>21.62%</v>
      </c>
    </row>
    <row r="3" spans="1:15" x14ac:dyDescent="0.3">
      <c r="A3">
        <v>42381392</v>
      </c>
      <c r="B3">
        <f>_xlfn.XLOOKUP($A3,'data compile'!$A$2:$A$54,'data compile'!B$2:B$54)</f>
        <v>1</v>
      </c>
      <c r="C3">
        <f>_xlfn.XLOOKUP($A3,'data compile'!$A$2:$A$54,'data compile'!C$2:C$54)</f>
        <v>86</v>
      </c>
      <c r="D3">
        <f>_xlfn.XLOOKUP($A3,'data compile'!$A$2:$A$54,'data compile'!D$2:D$54)</f>
        <v>21</v>
      </c>
      <c r="E3">
        <f>_xlfn.XLOOKUP($A3,'data compile'!$A$2:$A$54,'data compile'!E$2:E$54)</f>
        <v>6</v>
      </c>
      <c r="F3">
        <f>_xlfn.XLOOKUP($A3,'data compile'!$A$2:$A$54,'data compile'!F$2:F$54)</f>
        <v>0</v>
      </c>
      <c r="G3">
        <f>_xlfn.XLOOKUP($A3,'data compile'!$A$2:$A$54,'data compile'!G$2:G$54)</f>
        <v>1</v>
      </c>
      <c r="H3">
        <f>_xlfn.XLOOKUP($A3,'data compile'!$A$2:$A$54,'data compile'!H$2:H$54)</f>
        <v>115</v>
      </c>
      <c r="I3" t="str">
        <f>_xlfn.XLOOKUP($A3,'data compile'!$A$2:$A$54,'data compile'!I$2:I$54)</f>
        <v>74.78%</v>
      </c>
      <c r="J3">
        <f>_xlfn.XLOOKUP($A3,'data compile'!$A$2:$A$54,'data compile'!J$2:J$54)</f>
        <v>58</v>
      </c>
      <c r="K3">
        <f>_xlfn.XLOOKUP($A3,'data compile'!$A$2:$A$54,'data compile'!K$2:K$54)</f>
        <v>115</v>
      </c>
      <c r="L3">
        <f>_xlfn.XLOOKUP($A3,'data compile'!$A$2:$A$54,'data compile'!L$2:L$54)</f>
        <v>0</v>
      </c>
      <c r="M3">
        <f>_xlfn.XLOOKUP($A3,'data compile'!$A$2:$A$54,'data compile'!M$2:M$54)</f>
        <v>11</v>
      </c>
      <c r="N3" t="str">
        <f>_xlfn.XLOOKUP($A3,'data compile'!$A$2:$A$54,'data compile'!N$2:N$54)</f>
        <v>0.0%</v>
      </c>
      <c r="O3" t="str">
        <f>_xlfn.XLOOKUP($A3,'data compile'!$A$2:$A$54,'data compile'!O$2:O$54)</f>
        <v>9.57%</v>
      </c>
    </row>
    <row r="4" spans="1:15" x14ac:dyDescent="0.3">
      <c r="A4">
        <v>42406507</v>
      </c>
      <c r="B4">
        <f>_xlfn.XLOOKUP($A4,'data compile'!$A$2:$A$54,'data compile'!B$2:B$54)</f>
        <v>1</v>
      </c>
      <c r="C4">
        <f>_xlfn.XLOOKUP($A4,'data compile'!$A$2:$A$54,'data compile'!C$2:C$54)</f>
        <v>184</v>
      </c>
      <c r="D4">
        <f>_xlfn.XLOOKUP($A4,'data compile'!$A$2:$A$54,'data compile'!D$2:D$54)</f>
        <v>46</v>
      </c>
      <c r="E4">
        <f>_xlfn.XLOOKUP($A4,'data compile'!$A$2:$A$54,'data compile'!E$2:E$54)</f>
        <v>27</v>
      </c>
      <c r="F4">
        <f>_xlfn.XLOOKUP($A4,'data compile'!$A$2:$A$54,'data compile'!F$2:F$54)</f>
        <v>1</v>
      </c>
      <c r="G4">
        <f>_xlfn.XLOOKUP($A4,'data compile'!$A$2:$A$54,'data compile'!G$2:G$54)</f>
        <v>3</v>
      </c>
      <c r="H4">
        <f>_xlfn.XLOOKUP($A4,'data compile'!$A$2:$A$54,'data compile'!H$2:H$54)</f>
        <v>262</v>
      </c>
      <c r="I4" t="str">
        <f>_xlfn.XLOOKUP($A4,'data compile'!$A$2:$A$54,'data compile'!I$2:I$54)</f>
        <v>70.23%</v>
      </c>
      <c r="J4">
        <f>_xlfn.XLOOKUP($A4,'data compile'!$A$2:$A$54,'data compile'!J$2:J$54)</f>
        <v>66</v>
      </c>
      <c r="K4">
        <f>_xlfn.XLOOKUP($A4,'data compile'!$A$2:$A$54,'data compile'!K$2:K$54)</f>
        <v>262</v>
      </c>
      <c r="L4">
        <f>_xlfn.XLOOKUP($A4,'data compile'!$A$2:$A$54,'data compile'!L$2:L$54)</f>
        <v>0</v>
      </c>
      <c r="M4">
        <f>_xlfn.XLOOKUP($A4,'data compile'!$A$2:$A$54,'data compile'!M$2:M$54)</f>
        <v>38</v>
      </c>
      <c r="N4" t="str">
        <f>_xlfn.XLOOKUP($A4,'data compile'!$A$2:$A$54,'data compile'!N$2:N$54)</f>
        <v>0.0%</v>
      </c>
      <c r="O4" t="str">
        <f>_xlfn.XLOOKUP($A4,'data compile'!$A$2:$A$54,'data compile'!O$2:O$54)</f>
        <v>14.5%</v>
      </c>
    </row>
    <row r="5" spans="1:15" x14ac:dyDescent="0.3">
      <c r="A5">
        <v>42426592</v>
      </c>
      <c r="B5">
        <f>_xlfn.XLOOKUP($A5,'data compile'!$A$2:$A$54,'data compile'!B$2:B$54)</f>
        <v>1</v>
      </c>
      <c r="C5">
        <f>_xlfn.XLOOKUP($A5,'data compile'!$A$2:$A$54,'data compile'!C$2:C$54)</f>
        <v>128</v>
      </c>
      <c r="D5">
        <f>_xlfn.XLOOKUP($A5,'data compile'!$A$2:$A$54,'data compile'!D$2:D$54)</f>
        <v>54</v>
      </c>
      <c r="E5">
        <f>_xlfn.XLOOKUP($A5,'data compile'!$A$2:$A$54,'data compile'!E$2:E$54)</f>
        <v>19</v>
      </c>
      <c r="F5">
        <f>_xlfn.XLOOKUP($A5,'data compile'!$A$2:$A$54,'data compile'!F$2:F$54)</f>
        <v>1</v>
      </c>
      <c r="G5">
        <f>_xlfn.XLOOKUP($A5,'data compile'!$A$2:$A$54,'data compile'!G$2:G$54)</f>
        <v>1</v>
      </c>
      <c r="H5">
        <f>_xlfn.XLOOKUP($A5,'data compile'!$A$2:$A$54,'data compile'!H$2:H$54)</f>
        <v>204</v>
      </c>
      <c r="I5" t="str">
        <f>_xlfn.XLOOKUP($A5,'data compile'!$A$2:$A$54,'data compile'!I$2:I$54)</f>
        <v>62.75%</v>
      </c>
      <c r="J5">
        <f>_xlfn.XLOOKUP($A5,'data compile'!$A$2:$A$54,'data compile'!J$2:J$54)</f>
        <v>70</v>
      </c>
      <c r="K5">
        <f>_xlfn.XLOOKUP($A5,'data compile'!$A$2:$A$54,'data compile'!K$2:K$54)</f>
        <v>204</v>
      </c>
      <c r="L5">
        <f>_xlfn.XLOOKUP($A5,'data compile'!$A$2:$A$54,'data compile'!L$2:L$54)</f>
        <v>0</v>
      </c>
      <c r="M5">
        <f>_xlfn.XLOOKUP($A5,'data compile'!$A$2:$A$54,'data compile'!M$2:M$54)</f>
        <v>55</v>
      </c>
      <c r="N5" t="str">
        <f>_xlfn.XLOOKUP($A5,'data compile'!$A$2:$A$54,'data compile'!N$2:N$54)</f>
        <v>0.0%</v>
      </c>
      <c r="O5" t="str">
        <f>_xlfn.XLOOKUP($A5,'data compile'!$A$2:$A$54,'data compile'!O$2:O$54)</f>
        <v>26.96%</v>
      </c>
    </row>
    <row r="6" spans="1:15" x14ac:dyDescent="0.3">
      <c r="A6">
        <v>42426641</v>
      </c>
      <c r="B6">
        <f>_xlfn.XLOOKUP($A6,'data compile'!$A$2:$A$54,'data compile'!B$2:B$54)</f>
        <v>1</v>
      </c>
      <c r="C6">
        <f>_xlfn.XLOOKUP($A6,'data compile'!$A$2:$A$54,'data compile'!C$2:C$54)</f>
        <v>178</v>
      </c>
      <c r="D6">
        <f>_xlfn.XLOOKUP($A6,'data compile'!$A$2:$A$54,'data compile'!D$2:D$54)</f>
        <v>25</v>
      </c>
      <c r="E6">
        <f>_xlfn.XLOOKUP($A6,'data compile'!$A$2:$A$54,'data compile'!E$2:E$54)</f>
        <v>8</v>
      </c>
      <c r="F6">
        <f>_xlfn.XLOOKUP($A6,'data compile'!$A$2:$A$54,'data compile'!F$2:F$54)</f>
        <v>2</v>
      </c>
      <c r="G6">
        <f>_xlfn.XLOOKUP($A6,'data compile'!$A$2:$A$54,'data compile'!G$2:G$54)</f>
        <v>1</v>
      </c>
      <c r="H6">
        <f>_xlfn.XLOOKUP($A6,'data compile'!$A$2:$A$54,'data compile'!H$2:H$54)</f>
        <v>215</v>
      </c>
      <c r="I6" t="str">
        <f>_xlfn.XLOOKUP($A6,'data compile'!$A$2:$A$54,'data compile'!I$2:I$54)</f>
        <v>82.79%</v>
      </c>
      <c r="J6">
        <f>_xlfn.XLOOKUP($A6,'data compile'!$A$2:$A$54,'data compile'!J$2:J$54)</f>
        <v>125</v>
      </c>
      <c r="K6">
        <f>_xlfn.XLOOKUP($A6,'data compile'!$A$2:$A$54,'data compile'!K$2:K$54)</f>
        <v>215</v>
      </c>
      <c r="L6">
        <f>_xlfn.XLOOKUP($A6,'data compile'!$A$2:$A$54,'data compile'!L$2:L$54)</f>
        <v>0</v>
      </c>
      <c r="M6">
        <f>_xlfn.XLOOKUP($A6,'data compile'!$A$2:$A$54,'data compile'!M$2:M$54)</f>
        <v>29</v>
      </c>
      <c r="N6" t="str">
        <f>_xlfn.XLOOKUP($A6,'data compile'!$A$2:$A$54,'data compile'!N$2:N$54)</f>
        <v>0.0%</v>
      </c>
      <c r="O6" t="str">
        <f>_xlfn.XLOOKUP($A6,'data compile'!$A$2:$A$54,'data compile'!O$2:O$54)</f>
        <v>13.49%</v>
      </c>
    </row>
    <row r="7" spans="1:15" x14ac:dyDescent="0.3">
      <c r="A7">
        <v>42458992</v>
      </c>
      <c r="B7">
        <f>_xlfn.XLOOKUP($A7,'data compile'!$A$2:$A$54,'data compile'!B$2:B$54)</f>
        <v>1</v>
      </c>
      <c r="C7">
        <f>_xlfn.XLOOKUP($A7,'data compile'!$A$2:$A$54,'data compile'!C$2:C$54)</f>
        <v>22</v>
      </c>
      <c r="D7">
        <f>_xlfn.XLOOKUP($A7,'data compile'!$A$2:$A$54,'data compile'!D$2:D$54)</f>
        <v>2</v>
      </c>
      <c r="E7">
        <f>_xlfn.XLOOKUP($A7,'data compile'!$A$2:$A$54,'data compile'!E$2:E$54)</f>
        <v>1</v>
      </c>
      <c r="F7">
        <f>_xlfn.XLOOKUP($A7,'data compile'!$A$2:$A$54,'data compile'!F$2:F$54)</f>
        <v>0</v>
      </c>
      <c r="G7">
        <f>_xlfn.XLOOKUP($A7,'data compile'!$A$2:$A$54,'data compile'!G$2:G$54)</f>
        <v>0</v>
      </c>
      <c r="H7">
        <f>_xlfn.XLOOKUP($A7,'data compile'!$A$2:$A$54,'data compile'!H$2:H$54)</f>
        <v>26</v>
      </c>
      <c r="I7" t="str">
        <f>_xlfn.XLOOKUP($A7,'data compile'!$A$2:$A$54,'data compile'!I$2:I$54)</f>
        <v>84.62%</v>
      </c>
      <c r="J7">
        <f>_xlfn.XLOOKUP($A7,'data compile'!$A$2:$A$54,'data compile'!J$2:J$54)</f>
        <v>17</v>
      </c>
      <c r="K7">
        <f>_xlfn.XLOOKUP($A7,'data compile'!$A$2:$A$54,'data compile'!K$2:K$54)</f>
        <v>26</v>
      </c>
      <c r="L7">
        <f>_xlfn.XLOOKUP($A7,'data compile'!$A$2:$A$54,'data compile'!L$2:L$54)</f>
        <v>0</v>
      </c>
      <c r="M7">
        <f>_xlfn.XLOOKUP($A7,'data compile'!$A$2:$A$54,'data compile'!M$2:M$54)</f>
        <v>1</v>
      </c>
      <c r="N7" t="str">
        <f>_xlfn.XLOOKUP($A7,'data compile'!$A$2:$A$54,'data compile'!N$2:N$54)</f>
        <v>0.0%</v>
      </c>
      <c r="O7" t="str">
        <f>_xlfn.XLOOKUP($A7,'data compile'!$A$2:$A$54,'data compile'!O$2:O$54)</f>
        <v>3.85%</v>
      </c>
    </row>
    <row r="8" spans="1:15" x14ac:dyDescent="0.3">
      <c r="A8">
        <v>42459041</v>
      </c>
      <c r="B8">
        <f>_xlfn.XLOOKUP($A8,'data compile'!$A$2:$A$54,'data compile'!B$2:B$54)</f>
        <v>1</v>
      </c>
      <c r="C8">
        <f>_xlfn.XLOOKUP($A8,'data compile'!$A$2:$A$54,'data compile'!C$2:C$54)</f>
        <v>12</v>
      </c>
      <c r="D8">
        <f>_xlfn.XLOOKUP($A8,'data compile'!$A$2:$A$54,'data compile'!D$2:D$54)</f>
        <v>8</v>
      </c>
      <c r="E8">
        <f>_xlfn.XLOOKUP($A8,'data compile'!$A$2:$A$54,'data compile'!E$2:E$54)</f>
        <v>2</v>
      </c>
      <c r="F8">
        <f>_xlfn.XLOOKUP($A8,'data compile'!$A$2:$A$54,'data compile'!F$2:F$54)</f>
        <v>0</v>
      </c>
      <c r="G8">
        <f>_xlfn.XLOOKUP($A8,'data compile'!$A$2:$A$54,'data compile'!G$2:G$54)</f>
        <v>0</v>
      </c>
      <c r="H8">
        <f>_xlfn.XLOOKUP($A8,'data compile'!$A$2:$A$54,'data compile'!H$2:H$54)</f>
        <v>23</v>
      </c>
      <c r="I8" t="str">
        <f>_xlfn.XLOOKUP($A8,'data compile'!$A$2:$A$54,'data compile'!I$2:I$54)</f>
        <v>52.17%</v>
      </c>
      <c r="J8">
        <f>_xlfn.XLOOKUP($A8,'data compile'!$A$2:$A$54,'data compile'!J$2:J$54)</f>
        <v>7</v>
      </c>
      <c r="K8">
        <f>_xlfn.XLOOKUP($A8,'data compile'!$A$2:$A$54,'data compile'!K$2:K$54)</f>
        <v>23</v>
      </c>
      <c r="L8">
        <f>_xlfn.XLOOKUP($A8,'data compile'!$A$2:$A$54,'data compile'!L$2:L$54)</f>
        <v>0</v>
      </c>
      <c r="M8">
        <f>_xlfn.XLOOKUP($A8,'data compile'!$A$2:$A$54,'data compile'!M$2:M$54)</f>
        <v>6</v>
      </c>
      <c r="N8" t="str">
        <f>_xlfn.XLOOKUP($A8,'data compile'!$A$2:$A$54,'data compile'!N$2:N$54)</f>
        <v>0.0%</v>
      </c>
      <c r="O8" t="str">
        <f>_xlfn.XLOOKUP($A8,'data compile'!$A$2:$A$54,'data compile'!O$2:O$54)</f>
        <v>26.09%</v>
      </c>
    </row>
    <row r="9" spans="1:15" x14ac:dyDescent="0.3">
      <c r="A9">
        <v>42459099</v>
      </c>
      <c r="B9">
        <f>_xlfn.XLOOKUP($A9,'data compile'!$A$2:$A$54,'data compile'!B$2:B$54)</f>
        <v>1</v>
      </c>
      <c r="C9">
        <f>_xlfn.XLOOKUP($A9,'data compile'!$A$2:$A$54,'data compile'!C$2:C$54)</f>
        <v>47</v>
      </c>
      <c r="D9">
        <f>_xlfn.XLOOKUP($A9,'data compile'!$A$2:$A$54,'data compile'!D$2:D$54)</f>
        <v>0</v>
      </c>
      <c r="E9">
        <f>_xlfn.XLOOKUP($A9,'data compile'!$A$2:$A$54,'data compile'!E$2:E$54)</f>
        <v>0</v>
      </c>
      <c r="F9">
        <f>_xlfn.XLOOKUP($A9,'data compile'!$A$2:$A$54,'data compile'!F$2:F$54)</f>
        <v>0</v>
      </c>
      <c r="G9">
        <f>_xlfn.XLOOKUP($A9,'data compile'!$A$2:$A$54,'data compile'!G$2:G$54)</f>
        <v>1</v>
      </c>
      <c r="H9">
        <f>_xlfn.XLOOKUP($A9,'data compile'!$A$2:$A$54,'data compile'!H$2:H$54)</f>
        <v>49</v>
      </c>
      <c r="I9" t="str">
        <f>_xlfn.XLOOKUP($A9,'data compile'!$A$2:$A$54,'data compile'!I$2:I$54)</f>
        <v>95.92%</v>
      </c>
      <c r="J9">
        <f>_xlfn.XLOOKUP($A9,'data compile'!$A$2:$A$54,'data compile'!J$2:J$54)</f>
        <v>19</v>
      </c>
      <c r="K9">
        <f>_xlfn.XLOOKUP($A9,'data compile'!$A$2:$A$54,'data compile'!K$2:K$54)</f>
        <v>49</v>
      </c>
      <c r="L9">
        <f>_xlfn.XLOOKUP($A9,'data compile'!$A$2:$A$54,'data compile'!L$2:L$54)</f>
        <v>0</v>
      </c>
      <c r="M9">
        <f>_xlfn.XLOOKUP($A9,'data compile'!$A$2:$A$54,'data compile'!M$2:M$54)</f>
        <v>4</v>
      </c>
      <c r="N9" t="str">
        <f>_xlfn.XLOOKUP($A9,'data compile'!$A$2:$A$54,'data compile'!N$2:N$54)</f>
        <v>0.0%</v>
      </c>
      <c r="O9" t="str">
        <f>_xlfn.XLOOKUP($A9,'data compile'!$A$2:$A$54,'data compile'!O$2:O$54)</f>
        <v>8.16%</v>
      </c>
    </row>
    <row r="10" spans="1:15" x14ac:dyDescent="0.3">
      <c r="A10">
        <v>42459241</v>
      </c>
      <c r="B10">
        <f>_xlfn.XLOOKUP($A10,'data compile'!$A$2:$A$54,'data compile'!B$2:B$54)</f>
        <v>1</v>
      </c>
      <c r="C10">
        <f>_xlfn.XLOOKUP($A10,'data compile'!$A$2:$A$54,'data compile'!C$2:C$54)</f>
        <v>37</v>
      </c>
      <c r="D10">
        <f>_xlfn.XLOOKUP($A10,'data compile'!$A$2:$A$54,'data compile'!D$2:D$54)</f>
        <v>22</v>
      </c>
      <c r="E10">
        <f>_xlfn.XLOOKUP($A10,'data compile'!$A$2:$A$54,'data compile'!E$2:E$54)</f>
        <v>6</v>
      </c>
      <c r="F10">
        <f>_xlfn.XLOOKUP($A10,'data compile'!$A$2:$A$54,'data compile'!F$2:F$54)</f>
        <v>0</v>
      </c>
      <c r="G10">
        <f>_xlfn.XLOOKUP($A10,'data compile'!$A$2:$A$54,'data compile'!G$2:G$54)</f>
        <v>2</v>
      </c>
      <c r="H10">
        <f>_xlfn.XLOOKUP($A10,'data compile'!$A$2:$A$54,'data compile'!H$2:H$54)</f>
        <v>68</v>
      </c>
      <c r="I10" t="str">
        <f>_xlfn.XLOOKUP($A10,'data compile'!$A$2:$A$54,'data compile'!I$2:I$54)</f>
        <v>54.41%</v>
      </c>
      <c r="J10">
        <f>_xlfn.XLOOKUP($A10,'data compile'!$A$2:$A$54,'data compile'!J$2:J$54)</f>
        <v>18</v>
      </c>
      <c r="K10">
        <f>_xlfn.XLOOKUP($A10,'data compile'!$A$2:$A$54,'data compile'!K$2:K$54)</f>
        <v>68</v>
      </c>
      <c r="L10">
        <f>_xlfn.XLOOKUP($A10,'data compile'!$A$2:$A$54,'data compile'!L$2:L$54)</f>
        <v>0</v>
      </c>
      <c r="M10">
        <f>_xlfn.XLOOKUP($A10,'data compile'!$A$2:$A$54,'data compile'!M$2:M$54)</f>
        <v>35</v>
      </c>
      <c r="N10" t="str">
        <f>_xlfn.XLOOKUP($A10,'data compile'!$A$2:$A$54,'data compile'!N$2:N$54)</f>
        <v>0.0%</v>
      </c>
      <c r="O10" t="str">
        <f>_xlfn.XLOOKUP($A10,'data compile'!$A$2:$A$54,'data compile'!O$2:O$54)</f>
        <v>51.47%</v>
      </c>
    </row>
    <row r="11" spans="1:15" x14ac:dyDescent="0.3">
      <c r="A11">
        <v>42459298</v>
      </c>
      <c r="B11">
        <f>_xlfn.XLOOKUP($A11,'data compile'!$A$2:$A$54,'data compile'!B$2:B$54)</f>
        <v>1</v>
      </c>
      <c r="C11">
        <f>_xlfn.XLOOKUP($A11,'data compile'!$A$2:$A$54,'data compile'!C$2:C$54)</f>
        <v>20</v>
      </c>
      <c r="D11">
        <f>_xlfn.XLOOKUP($A11,'data compile'!$A$2:$A$54,'data compile'!D$2:D$54)</f>
        <v>3</v>
      </c>
      <c r="E11">
        <f>_xlfn.XLOOKUP($A11,'data compile'!$A$2:$A$54,'data compile'!E$2:E$54)</f>
        <v>1</v>
      </c>
      <c r="F11">
        <f>_xlfn.XLOOKUP($A11,'data compile'!$A$2:$A$54,'data compile'!F$2:F$54)</f>
        <v>0</v>
      </c>
      <c r="G11">
        <f>_xlfn.XLOOKUP($A11,'data compile'!$A$2:$A$54,'data compile'!G$2:G$54)</f>
        <v>1</v>
      </c>
      <c r="H11">
        <f>_xlfn.XLOOKUP($A11,'data compile'!$A$2:$A$54,'data compile'!H$2:H$54)</f>
        <v>26</v>
      </c>
      <c r="I11" t="str">
        <f>_xlfn.XLOOKUP($A11,'data compile'!$A$2:$A$54,'data compile'!I$2:I$54)</f>
        <v>76.92%</v>
      </c>
      <c r="J11">
        <f>_xlfn.XLOOKUP($A11,'data compile'!$A$2:$A$54,'data compile'!J$2:J$54)</f>
        <v>15</v>
      </c>
      <c r="K11">
        <f>_xlfn.XLOOKUP($A11,'data compile'!$A$2:$A$54,'data compile'!K$2:K$54)</f>
        <v>26</v>
      </c>
      <c r="L11">
        <f>_xlfn.XLOOKUP($A11,'data compile'!$A$2:$A$54,'data compile'!L$2:L$54)</f>
        <v>0</v>
      </c>
      <c r="M11">
        <f>_xlfn.XLOOKUP($A11,'data compile'!$A$2:$A$54,'data compile'!M$2:M$54)</f>
        <v>2</v>
      </c>
      <c r="N11" t="str">
        <f>_xlfn.XLOOKUP($A11,'data compile'!$A$2:$A$54,'data compile'!N$2:N$54)</f>
        <v>0.0%</v>
      </c>
      <c r="O11" t="str">
        <f>_xlfn.XLOOKUP($A11,'data compile'!$A$2:$A$54,'data compile'!O$2:O$54)</f>
        <v>7.69%</v>
      </c>
    </row>
    <row r="12" spans="1:15" x14ac:dyDescent="0.3">
      <c r="A12">
        <v>42463024</v>
      </c>
      <c r="B12">
        <f>_xlfn.XLOOKUP($A12,'data compile'!$A$2:$A$54,'data compile'!B$2:B$54)</f>
        <v>1</v>
      </c>
      <c r="C12">
        <f>_xlfn.XLOOKUP($A12,'data compile'!$A$2:$A$54,'data compile'!C$2:C$54)</f>
        <v>301</v>
      </c>
      <c r="D12">
        <f>_xlfn.XLOOKUP($A12,'data compile'!$A$2:$A$54,'data compile'!D$2:D$54)</f>
        <v>31</v>
      </c>
      <c r="E12">
        <f>_xlfn.XLOOKUP($A12,'data compile'!$A$2:$A$54,'data compile'!E$2:E$54)</f>
        <v>11</v>
      </c>
      <c r="F12">
        <f>_xlfn.XLOOKUP($A12,'data compile'!$A$2:$A$54,'data compile'!F$2:F$54)</f>
        <v>4</v>
      </c>
      <c r="G12">
        <f>_xlfn.XLOOKUP($A12,'data compile'!$A$2:$A$54,'data compile'!G$2:G$54)</f>
        <v>5</v>
      </c>
      <c r="H12">
        <f>_xlfn.XLOOKUP($A12,'data compile'!$A$2:$A$54,'data compile'!H$2:H$54)</f>
        <v>353</v>
      </c>
      <c r="I12" t="str">
        <f>_xlfn.XLOOKUP($A12,'data compile'!$A$2:$A$54,'data compile'!I$2:I$54)</f>
        <v>85.27%</v>
      </c>
      <c r="J12">
        <f>_xlfn.XLOOKUP($A12,'data compile'!$A$2:$A$54,'data compile'!J$2:J$54)</f>
        <v>103</v>
      </c>
      <c r="K12">
        <f>_xlfn.XLOOKUP($A12,'data compile'!$A$2:$A$54,'data compile'!K$2:K$54)</f>
        <v>353</v>
      </c>
      <c r="L12">
        <f>_xlfn.XLOOKUP($A12,'data compile'!$A$2:$A$54,'data compile'!L$2:L$54)</f>
        <v>0</v>
      </c>
      <c r="M12">
        <f>_xlfn.XLOOKUP($A12,'data compile'!$A$2:$A$54,'data compile'!M$2:M$54)</f>
        <v>53</v>
      </c>
      <c r="N12" t="str">
        <f>_xlfn.XLOOKUP($A12,'data compile'!$A$2:$A$54,'data compile'!N$2:N$54)</f>
        <v>0.0%</v>
      </c>
      <c r="O12" t="str">
        <f>_xlfn.XLOOKUP($A12,'data compile'!$A$2:$A$54,'data compile'!O$2:O$54)</f>
        <v>15.01%</v>
      </c>
    </row>
    <row r="13" spans="1:15" x14ac:dyDescent="0.3">
      <c r="A13">
        <v>42463063</v>
      </c>
      <c r="B13">
        <f>_xlfn.XLOOKUP($A13,'data compile'!$A$2:$A$54,'data compile'!B$2:B$54)</f>
        <v>1</v>
      </c>
      <c r="C13">
        <f>_xlfn.XLOOKUP($A13,'data compile'!$A$2:$A$54,'data compile'!C$2:C$54)</f>
        <v>209</v>
      </c>
      <c r="D13">
        <f>_xlfn.XLOOKUP($A13,'data compile'!$A$2:$A$54,'data compile'!D$2:D$54)</f>
        <v>8</v>
      </c>
      <c r="E13">
        <f>_xlfn.XLOOKUP($A13,'data compile'!$A$2:$A$54,'data compile'!E$2:E$54)</f>
        <v>7</v>
      </c>
      <c r="F13">
        <f>_xlfn.XLOOKUP($A13,'data compile'!$A$2:$A$54,'data compile'!F$2:F$54)</f>
        <v>1</v>
      </c>
      <c r="G13">
        <f>_xlfn.XLOOKUP($A13,'data compile'!$A$2:$A$54,'data compile'!G$2:G$54)</f>
        <v>2</v>
      </c>
      <c r="H13">
        <f>_xlfn.XLOOKUP($A13,'data compile'!$A$2:$A$54,'data compile'!H$2:H$54)</f>
        <v>228</v>
      </c>
      <c r="I13" t="str">
        <f>_xlfn.XLOOKUP($A13,'data compile'!$A$2:$A$54,'data compile'!I$2:I$54)</f>
        <v>91.67%</v>
      </c>
      <c r="J13">
        <f>_xlfn.XLOOKUP($A13,'data compile'!$A$2:$A$54,'data compile'!J$2:J$54)</f>
        <v>100</v>
      </c>
      <c r="K13">
        <f>_xlfn.XLOOKUP($A13,'data compile'!$A$2:$A$54,'data compile'!K$2:K$54)</f>
        <v>228</v>
      </c>
      <c r="L13">
        <f>_xlfn.XLOOKUP($A13,'data compile'!$A$2:$A$54,'data compile'!L$2:L$54)</f>
        <v>0</v>
      </c>
      <c r="M13">
        <f>_xlfn.XLOOKUP($A13,'data compile'!$A$2:$A$54,'data compile'!M$2:M$54)</f>
        <v>108</v>
      </c>
      <c r="N13" t="str">
        <f>_xlfn.XLOOKUP($A13,'data compile'!$A$2:$A$54,'data compile'!N$2:N$54)</f>
        <v>0.0%</v>
      </c>
      <c r="O13" t="str">
        <f>_xlfn.XLOOKUP($A13,'data compile'!$A$2:$A$54,'data compile'!O$2:O$54)</f>
        <v>47.37%</v>
      </c>
    </row>
    <row r="14" spans="1:15" x14ac:dyDescent="0.3">
      <c r="A14">
        <v>42705635</v>
      </c>
      <c r="B14">
        <f>_xlfn.XLOOKUP($A14,'data compile'!$A$2:$A$54,'data compile'!B$2:B$54)</f>
        <v>1</v>
      </c>
      <c r="C14">
        <f>_xlfn.XLOOKUP($A14,'data compile'!$A$2:$A$54,'data compile'!C$2:C$54)</f>
        <v>110</v>
      </c>
      <c r="D14">
        <f>_xlfn.XLOOKUP($A14,'data compile'!$A$2:$A$54,'data compile'!D$2:D$54)</f>
        <v>60</v>
      </c>
      <c r="E14">
        <f>_xlfn.XLOOKUP($A14,'data compile'!$A$2:$A$54,'data compile'!E$2:E$54)</f>
        <v>21</v>
      </c>
      <c r="F14">
        <f>_xlfn.XLOOKUP($A14,'data compile'!$A$2:$A$54,'data compile'!F$2:F$54)</f>
        <v>2</v>
      </c>
      <c r="G14">
        <f>_xlfn.XLOOKUP($A14,'data compile'!$A$2:$A$54,'data compile'!G$2:G$54)</f>
        <v>1</v>
      </c>
      <c r="H14">
        <f>_xlfn.XLOOKUP($A14,'data compile'!$A$2:$A$54,'data compile'!H$2:H$54)</f>
        <v>195</v>
      </c>
      <c r="I14" t="str">
        <f>_xlfn.XLOOKUP($A14,'data compile'!$A$2:$A$54,'data compile'!I$2:I$54)</f>
        <v>56.41%</v>
      </c>
      <c r="J14">
        <f>_xlfn.XLOOKUP($A14,'data compile'!$A$2:$A$54,'data compile'!J$2:J$54)</f>
        <v>65</v>
      </c>
      <c r="K14">
        <f>_xlfn.XLOOKUP($A14,'data compile'!$A$2:$A$54,'data compile'!K$2:K$54)</f>
        <v>195</v>
      </c>
      <c r="L14">
        <f>_xlfn.XLOOKUP($A14,'data compile'!$A$2:$A$54,'data compile'!L$2:L$54)</f>
        <v>3</v>
      </c>
      <c r="M14">
        <f>_xlfn.XLOOKUP($A14,'data compile'!$A$2:$A$54,'data compile'!M$2:M$54)</f>
        <v>20</v>
      </c>
      <c r="N14" t="str">
        <f>_xlfn.XLOOKUP($A14,'data compile'!$A$2:$A$54,'data compile'!N$2:N$54)</f>
        <v>1.54%</v>
      </c>
      <c r="O14" t="str">
        <f>_xlfn.XLOOKUP($A14,'data compile'!$A$2:$A$54,'data compile'!O$2:O$54)</f>
        <v>10.26%</v>
      </c>
    </row>
    <row r="15" spans="1:15" x14ac:dyDescent="0.3">
      <c r="A15">
        <v>42731028</v>
      </c>
      <c r="B15">
        <f>_xlfn.XLOOKUP($A15,'data compile'!$A$2:$A$54,'data compile'!B$2:B$54)</f>
        <v>1</v>
      </c>
      <c r="C15">
        <f>_xlfn.XLOOKUP($A15,'data compile'!$A$2:$A$54,'data compile'!C$2:C$54)</f>
        <v>167</v>
      </c>
      <c r="D15">
        <f>_xlfn.XLOOKUP($A15,'data compile'!$A$2:$A$54,'data compile'!D$2:D$54)</f>
        <v>20</v>
      </c>
      <c r="E15">
        <f>_xlfn.XLOOKUP($A15,'data compile'!$A$2:$A$54,'data compile'!E$2:E$54)</f>
        <v>12</v>
      </c>
      <c r="F15">
        <f>_xlfn.XLOOKUP($A15,'data compile'!$A$2:$A$54,'data compile'!F$2:F$54)</f>
        <v>1</v>
      </c>
      <c r="G15">
        <f>_xlfn.XLOOKUP($A15,'data compile'!$A$2:$A$54,'data compile'!G$2:G$54)</f>
        <v>0</v>
      </c>
      <c r="H15">
        <f>_xlfn.XLOOKUP($A15,'data compile'!$A$2:$A$54,'data compile'!H$2:H$54)</f>
        <v>201</v>
      </c>
      <c r="I15" t="str">
        <f>_xlfn.XLOOKUP($A15,'data compile'!$A$2:$A$54,'data compile'!I$2:I$54)</f>
        <v>83.08%</v>
      </c>
      <c r="J15">
        <f>_xlfn.XLOOKUP($A15,'data compile'!$A$2:$A$54,'data compile'!J$2:J$54)</f>
        <v>99</v>
      </c>
      <c r="K15">
        <f>_xlfn.XLOOKUP($A15,'data compile'!$A$2:$A$54,'data compile'!K$2:K$54)</f>
        <v>201</v>
      </c>
      <c r="L15">
        <f>_xlfn.XLOOKUP($A15,'data compile'!$A$2:$A$54,'data compile'!L$2:L$54)</f>
        <v>1</v>
      </c>
      <c r="M15">
        <f>_xlfn.XLOOKUP($A15,'data compile'!$A$2:$A$54,'data compile'!M$2:M$54)</f>
        <v>15</v>
      </c>
      <c r="N15" t="str">
        <f>_xlfn.XLOOKUP($A15,'data compile'!$A$2:$A$54,'data compile'!N$2:N$54)</f>
        <v>0.5%</v>
      </c>
      <c r="O15" t="str">
        <f>_xlfn.XLOOKUP($A15,'data compile'!$A$2:$A$54,'data compile'!O$2:O$54)</f>
        <v>7.46%</v>
      </c>
    </row>
    <row r="16" spans="1:15" x14ac:dyDescent="0.3">
      <c r="A16">
        <v>42913719</v>
      </c>
      <c r="B16">
        <f>_xlfn.XLOOKUP($A16,'data compile'!$A$2:$A$54,'data compile'!B$2:B$54)</f>
        <v>1</v>
      </c>
      <c r="C16">
        <f>_xlfn.XLOOKUP($A16,'data compile'!$A$2:$A$54,'data compile'!C$2:C$54)</f>
        <v>148</v>
      </c>
      <c r="D16">
        <f>_xlfn.XLOOKUP($A16,'data compile'!$A$2:$A$54,'data compile'!D$2:D$54)</f>
        <v>36</v>
      </c>
      <c r="E16">
        <f>_xlfn.XLOOKUP($A16,'data compile'!$A$2:$A$54,'data compile'!E$2:E$54)</f>
        <v>10</v>
      </c>
      <c r="F16">
        <f>_xlfn.XLOOKUP($A16,'data compile'!$A$2:$A$54,'data compile'!F$2:F$54)</f>
        <v>0</v>
      </c>
      <c r="G16">
        <f>_xlfn.XLOOKUP($A16,'data compile'!$A$2:$A$54,'data compile'!G$2:G$54)</f>
        <v>1</v>
      </c>
      <c r="H16">
        <f>_xlfn.XLOOKUP($A16,'data compile'!$A$2:$A$54,'data compile'!H$2:H$54)</f>
        <v>196</v>
      </c>
      <c r="I16" t="str">
        <f>_xlfn.XLOOKUP($A16,'data compile'!$A$2:$A$54,'data compile'!I$2:I$54)</f>
        <v>75.51%</v>
      </c>
      <c r="J16">
        <f>_xlfn.XLOOKUP($A16,'data compile'!$A$2:$A$54,'data compile'!J$2:J$54)</f>
        <v>142</v>
      </c>
      <c r="K16">
        <f>_xlfn.XLOOKUP($A16,'data compile'!$A$2:$A$54,'data compile'!K$2:K$54)</f>
        <v>196</v>
      </c>
      <c r="L16">
        <f>_xlfn.XLOOKUP($A16,'data compile'!$A$2:$A$54,'data compile'!L$2:L$54)</f>
        <v>1</v>
      </c>
      <c r="M16">
        <f>_xlfn.XLOOKUP($A16,'data compile'!$A$2:$A$54,'data compile'!M$2:M$54)</f>
        <v>25</v>
      </c>
      <c r="N16" t="str">
        <f>_xlfn.XLOOKUP($A16,'data compile'!$A$2:$A$54,'data compile'!N$2:N$54)</f>
        <v>0.51%</v>
      </c>
      <c r="O16" t="str">
        <f>_xlfn.XLOOKUP($A16,'data compile'!$A$2:$A$54,'data compile'!O$2:O$54)</f>
        <v>12.76%</v>
      </c>
    </row>
    <row r="17" spans="1:15" x14ac:dyDescent="0.3">
      <c r="A17">
        <v>42971568</v>
      </c>
      <c r="B17">
        <f>_xlfn.XLOOKUP($A17,'data compile'!$A$2:$A$54,'data compile'!B$2:B$54)</f>
        <v>1</v>
      </c>
      <c r="C17">
        <f>_xlfn.XLOOKUP($A17,'data compile'!$A$2:$A$54,'data compile'!C$2:C$54)</f>
        <v>102</v>
      </c>
      <c r="D17">
        <f>_xlfn.XLOOKUP($A17,'data compile'!$A$2:$A$54,'data compile'!D$2:D$54)</f>
        <v>23</v>
      </c>
      <c r="E17">
        <f>_xlfn.XLOOKUP($A17,'data compile'!$A$2:$A$54,'data compile'!E$2:E$54)</f>
        <v>6</v>
      </c>
      <c r="F17">
        <f>_xlfn.XLOOKUP($A17,'data compile'!$A$2:$A$54,'data compile'!F$2:F$54)</f>
        <v>0</v>
      </c>
      <c r="G17">
        <f>_xlfn.XLOOKUP($A17,'data compile'!$A$2:$A$54,'data compile'!G$2:G$54)</f>
        <v>0</v>
      </c>
      <c r="H17">
        <f>_xlfn.XLOOKUP($A17,'data compile'!$A$2:$A$54,'data compile'!H$2:H$54)</f>
        <v>132</v>
      </c>
      <c r="I17" t="str">
        <f>_xlfn.XLOOKUP($A17,'data compile'!$A$2:$A$54,'data compile'!I$2:I$54)</f>
        <v>77.27%</v>
      </c>
      <c r="J17">
        <f>_xlfn.XLOOKUP($A17,'data compile'!$A$2:$A$54,'data compile'!J$2:J$54)</f>
        <v>97</v>
      </c>
      <c r="K17">
        <f>_xlfn.XLOOKUP($A17,'data compile'!$A$2:$A$54,'data compile'!K$2:K$54)</f>
        <v>132</v>
      </c>
      <c r="L17">
        <f>_xlfn.XLOOKUP($A17,'data compile'!$A$2:$A$54,'data compile'!L$2:L$54)</f>
        <v>2</v>
      </c>
      <c r="M17">
        <f>_xlfn.XLOOKUP($A17,'data compile'!$A$2:$A$54,'data compile'!M$2:M$54)</f>
        <v>12</v>
      </c>
      <c r="N17" t="str">
        <f>_xlfn.XLOOKUP($A17,'data compile'!$A$2:$A$54,'data compile'!N$2:N$54)</f>
        <v>1.52%</v>
      </c>
      <c r="O17" t="str">
        <f>_xlfn.XLOOKUP($A17,'data compile'!$A$2:$A$54,'data compile'!O$2:O$54)</f>
        <v>9.09%</v>
      </c>
    </row>
    <row r="18" spans="1:15" x14ac:dyDescent="0.3">
      <c r="A18">
        <v>42997602</v>
      </c>
      <c r="B18">
        <f>_xlfn.XLOOKUP($A18,'data compile'!$A$2:$A$54,'data compile'!B$2:B$54)</f>
        <v>1</v>
      </c>
      <c r="C18">
        <f>_xlfn.XLOOKUP($A18,'data compile'!$A$2:$A$54,'data compile'!C$2:C$54)</f>
        <v>148</v>
      </c>
      <c r="D18">
        <f>_xlfn.XLOOKUP($A18,'data compile'!$A$2:$A$54,'data compile'!D$2:D$54)</f>
        <v>33</v>
      </c>
      <c r="E18">
        <f>_xlfn.XLOOKUP($A18,'data compile'!$A$2:$A$54,'data compile'!E$2:E$54)</f>
        <v>13</v>
      </c>
      <c r="F18">
        <f>_xlfn.XLOOKUP($A18,'data compile'!$A$2:$A$54,'data compile'!F$2:F$54)</f>
        <v>2</v>
      </c>
      <c r="G18">
        <f>_xlfn.XLOOKUP($A18,'data compile'!$A$2:$A$54,'data compile'!G$2:G$54)</f>
        <v>0</v>
      </c>
      <c r="H18">
        <f>_xlfn.XLOOKUP($A18,'data compile'!$A$2:$A$54,'data compile'!H$2:H$54)</f>
        <v>197</v>
      </c>
      <c r="I18" t="str">
        <f>_xlfn.XLOOKUP($A18,'data compile'!$A$2:$A$54,'data compile'!I$2:I$54)</f>
        <v>75.13%</v>
      </c>
      <c r="J18">
        <f>_xlfn.XLOOKUP($A18,'data compile'!$A$2:$A$54,'data compile'!J$2:J$54)</f>
        <v>97</v>
      </c>
      <c r="K18">
        <f>_xlfn.XLOOKUP($A18,'data compile'!$A$2:$A$54,'data compile'!K$2:K$54)</f>
        <v>197</v>
      </c>
      <c r="L18">
        <f>_xlfn.XLOOKUP($A18,'data compile'!$A$2:$A$54,'data compile'!L$2:L$54)</f>
        <v>1</v>
      </c>
      <c r="M18">
        <f>_xlfn.XLOOKUP($A18,'data compile'!$A$2:$A$54,'data compile'!M$2:M$54)</f>
        <v>17</v>
      </c>
      <c r="N18" t="str">
        <f>_xlfn.XLOOKUP($A18,'data compile'!$A$2:$A$54,'data compile'!N$2:N$54)</f>
        <v>0.51%</v>
      </c>
      <c r="O18" t="str">
        <f>_xlfn.XLOOKUP($A18,'data compile'!$A$2:$A$54,'data compile'!O$2:O$54)</f>
        <v>8.63%</v>
      </c>
    </row>
    <row r="19" spans="1:15" x14ac:dyDescent="0.3">
      <c r="A19">
        <v>43022614</v>
      </c>
      <c r="B19">
        <f>_xlfn.XLOOKUP($A19,'data compile'!$A$2:$A$54,'data compile'!B$2:B$54)</f>
        <v>1</v>
      </c>
      <c r="C19">
        <f>_xlfn.XLOOKUP($A19,'data compile'!$A$2:$A$54,'data compile'!C$2:C$54)</f>
        <v>114</v>
      </c>
      <c r="D19">
        <f>_xlfn.XLOOKUP($A19,'data compile'!$A$2:$A$54,'data compile'!D$2:D$54)</f>
        <v>31</v>
      </c>
      <c r="E19">
        <f>_xlfn.XLOOKUP($A19,'data compile'!$A$2:$A$54,'data compile'!E$2:E$54)</f>
        <v>18</v>
      </c>
      <c r="F19">
        <f>_xlfn.XLOOKUP($A19,'data compile'!$A$2:$A$54,'data compile'!F$2:F$54)</f>
        <v>0</v>
      </c>
      <c r="G19">
        <f>_xlfn.XLOOKUP($A19,'data compile'!$A$2:$A$54,'data compile'!G$2:G$54)</f>
        <v>1</v>
      </c>
      <c r="H19">
        <f>_xlfn.XLOOKUP($A19,'data compile'!$A$2:$A$54,'data compile'!H$2:H$54)</f>
        <v>165</v>
      </c>
      <c r="I19" t="str">
        <f>_xlfn.XLOOKUP($A19,'data compile'!$A$2:$A$54,'data compile'!I$2:I$54)</f>
        <v>69.09%</v>
      </c>
      <c r="J19">
        <f>_xlfn.XLOOKUP($A19,'data compile'!$A$2:$A$54,'data compile'!J$2:J$54)</f>
        <v>109</v>
      </c>
      <c r="K19">
        <f>_xlfn.XLOOKUP($A19,'data compile'!$A$2:$A$54,'data compile'!K$2:K$54)</f>
        <v>165</v>
      </c>
      <c r="L19">
        <f>_xlfn.XLOOKUP($A19,'data compile'!$A$2:$A$54,'data compile'!L$2:L$54)</f>
        <v>1</v>
      </c>
      <c r="M19">
        <f>_xlfn.XLOOKUP($A19,'data compile'!$A$2:$A$54,'data compile'!M$2:M$54)</f>
        <v>35</v>
      </c>
      <c r="N19" t="str">
        <f>_xlfn.XLOOKUP($A19,'data compile'!$A$2:$A$54,'data compile'!N$2:N$54)</f>
        <v>0.61%</v>
      </c>
      <c r="O19" t="str">
        <f>_xlfn.XLOOKUP($A19,'data compile'!$A$2:$A$54,'data compile'!O$2:O$54)</f>
        <v>21.21%</v>
      </c>
    </row>
    <row r="20" spans="1:15" x14ac:dyDescent="0.3">
      <c r="A20">
        <v>43081554</v>
      </c>
      <c r="B20">
        <f>_xlfn.XLOOKUP($A20,'data compile'!$A$2:$A$54,'data compile'!B$2:B$54)</f>
        <v>1</v>
      </c>
      <c r="C20">
        <f>_xlfn.XLOOKUP($A20,'data compile'!$A$2:$A$54,'data compile'!C$2:C$54)</f>
        <v>73</v>
      </c>
      <c r="D20">
        <f>_xlfn.XLOOKUP($A20,'data compile'!$A$2:$A$54,'data compile'!D$2:D$54)</f>
        <v>40</v>
      </c>
      <c r="E20">
        <f>_xlfn.XLOOKUP($A20,'data compile'!$A$2:$A$54,'data compile'!E$2:E$54)</f>
        <v>20</v>
      </c>
      <c r="F20">
        <f>_xlfn.XLOOKUP($A20,'data compile'!$A$2:$A$54,'data compile'!F$2:F$54)</f>
        <v>0</v>
      </c>
      <c r="G20">
        <f>_xlfn.XLOOKUP($A20,'data compile'!$A$2:$A$54,'data compile'!G$2:G$54)</f>
        <v>0</v>
      </c>
      <c r="H20">
        <f>_xlfn.XLOOKUP($A20,'data compile'!$A$2:$A$54,'data compile'!H$2:H$54)</f>
        <v>134</v>
      </c>
      <c r="I20" t="str">
        <f>_xlfn.XLOOKUP($A20,'data compile'!$A$2:$A$54,'data compile'!I$2:I$54)</f>
        <v>54.48%</v>
      </c>
      <c r="J20">
        <f>_xlfn.XLOOKUP($A20,'data compile'!$A$2:$A$54,'data compile'!J$2:J$54)</f>
        <v>66</v>
      </c>
      <c r="K20">
        <f>_xlfn.XLOOKUP($A20,'data compile'!$A$2:$A$54,'data compile'!K$2:K$54)</f>
        <v>134</v>
      </c>
      <c r="L20">
        <f>_xlfn.XLOOKUP($A20,'data compile'!$A$2:$A$54,'data compile'!L$2:L$54)</f>
        <v>1</v>
      </c>
      <c r="M20">
        <f>_xlfn.XLOOKUP($A20,'data compile'!$A$2:$A$54,'data compile'!M$2:M$54)</f>
        <v>24</v>
      </c>
      <c r="N20" t="str">
        <f>_xlfn.XLOOKUP($A20,'data compile'!$A$2:$A$54,'data compile'!N$2:N$54)</f>
        <v>0.75%</v>
      </c>
      <c r="O20" t="str">
        <f>_xlfn.XLOOKUP($A20,'data compile'!$A$2:$A$54,'data compile'!O$2:O$54)</f>
        <v>17.91%</v>
      </c>
    </row>
    <row r="21" spans="1:15" x14ac:dyDescent="0.3">
      <c r="A21">
        <v>43110506</v>
      </c>
      <c r="B21">
        <f>_xlfn.XLOOKUP($A21,'data compile'!$A$2:$A$54,'data compile'!B$2:B$54)</f>
        <v>1</v>
      </c>
      <c r="C21">
        <f>_xlfn.XLOOKUP($A21,'data compile'!$A$2:$A$54,'data compile'!C$2:C$54)</f>
        <v>86</v>
      </c>
      <c r="D21">
        <f>_xlfn.XLOOKUP($A21,'data compile'!$A$2:$A$54,'data compile'!D$2:D$54)</f>
        <v>22</v>
      </c>
      <c r="E21">
        <f>_xlfn.XLOOKUP($A21,'data compile'!$A$2:$A$54,'data compile'!E$2:E$54)</f>
        <v>8</v>
      </c>
      <c r="F21">
        <f>_xlfn.XLOOKUP($A21,'data compile'!$A$2:$A$54,'data compile'!F$2:F$54)</f>
        <v>2</v>
      </c>
      <c r="G21">
        <f>_xlfn.XLOOKUP($A21,'data compile'!$A$2:$A$54,'data compile'!G$2:G$54)</f>
        <v>0</v>
      </c>
      <c r="H21">
        <f>_xlfn.XLOOKUP($A21,'data compile'!$A$2:$A$54,'data compile'!H$2:H$54)</f>
        <v>119</v>
      </c>
      <c r="I21" t="str">
        <f>_xlfn.XLOOKUP($A21,'data compile'!$A$2:$A$54,'data compile'!I$2:I$54)</f>
        <v>72.27%</v>
      </c>
      <c r="J21">
        <f>_xlfn.XLOOKUP($A21,'data compile'!$A$2:$A$54,'data compile'!J$2:J$54)</f>
        <v>81</v>
      </c>
      <c r="K21">
        <f>_xlfn.XLOOKUP($A21,'data compile'!$A$2:$A$54,'data compile'!K$2:K$54)</f>
        <v>119</v>
      </c>
      <c r="L21">
        <f>_xlfn.XLOOKUP($A21,'data compile'!$A$2:$A$54,'data compile'!L$2:L$54)</f>
        <v>1</v>
      </c>
      <c r="M21">
        <f>_xlfn.XLOOKUP($A21,'data compile'!$A$2:$A$54,'data compile'!M$2:M$54)</f>
        <v>18</v>
      </c>
      <c r="N21" t="str">
        <f>_xlfn.XLOOKUP($A21,'data compile'!$A$2:$A$54,'data compile'!N$2:N$54)</f>
        <v>0.84%</v>
      </c>
      <c r="O21" t="str">
        <f>_xlfn.XLOOKUP($A21,'data compile'!$A$2:$A$54,'data compile'!O$2:O$54)</f>
        <v>15.13%</v>
      </c>
    </row>
    <row r="22" spans="1:15" x14ac:dyDescent="0.3">
      <c r="A22">
        <v>43138108</v>
      </c>
      <c r="B22">
        <f>_xlfn.XLOOKUP($A22,'data compile'!$A$2:$A$54,'data compile'!B$2:B$54)</f>
        <v>1</v>
      </c>
      <c r="C22">
        <f>_xlfn.XLOOKUP($A22,'data compile'!$A$2:$A$54,'data compile'!C$2:C$54)</f>
        <v>102</v>
      </c>
      <c r="D22">
        <f>_xlfn.XLOOKUP($A22,'data compile'!$A$2:$A$54,'data compile'!D$2:D$54)</f>
        <v>38</v>
      </c>
      <c r="E22">
        <f>_xlfn.XLOOKUP($A22,'data compile'!$A$2:$A$54,'data compile'!E$2:E$54)</f>
        <v>12</v>
      </c>
      <c r="F22">
        <f>_xlfn.XLOOKUP($A22,'data compile'!$A$2:$A$54,'data compile'!F$2:F$54)</f>
        <v>2</v>
      </c>
      <c r="G22">
        <f>_xlfn.XLOOKUP($A22,'data compile'!$A$2:$A$54,'data compile'!G$2:G$54)</f>
        <v>0</v>
      </c>
      <c r="H22">
        <f>_xlfn.XLOOKUP($A22,'data compile'!$A$2:$A$54,'data compile'!H$2:H$54)</f>
        <v>155</v>
      </c>
      <c r="I22" t="str">
        <f>_xlfn.XLOOKUP($A22,'data compile'!$A$2:$A$54,'data compile'!I$2:I$54)</f>
        <v>65.81%</v>
      </c>
      <c r="J22">
        <f>_xlfn.XLOOKUP($A22,'data compile'!$A$2:$A$54,'data compile'!J$2:J$54)</f>
        <v>76</v>
      </c>
      <c r="K22">
        <f>_xlfn.XLOOKUP($A22,'data compile'!$A$2:$A$54,'data compile'!K$2:K$54)</f>
        <v>155</v>
      </c>
      <c r="L22">
        <f>_xlfn.XLOOKUP($A22,'data compile'!$A$2:$A$54,'data compile'!L$2:L$54)</f>
        <v>0</v>
      </c>
      <c r="M22">
        <f>_xlfn.XLOOKUP($A22,'data compile'!$A$2:$A$54,'data compile'!M$2:M$54)</f>
        <v>25</v>
      </c>
      <c r="N22" t="str">
        <f>_xlfn.XLOOKUP($A22,'data compile'!$A$2:$A$54,'data compile'!N$2:N$54)</f>
        <v>0.0%</v>
      </c>
      <c r="O22" t="str">
        <f>_xlfn.XLOOKUP($A22,'data compile'!$A$2:$A$54,'data compile'!O$2:O$54)</f>
        <v>16.13%</v>
      </c>
    </row>
    <row r="23" spans="1:15" x14ac:dyDescent="0.3">
      <c r="A23">
        <v>43166702</v>
      </c>
      <c r="B23">
        <f>_xlfn.XLOOKUP($A23,'data compile'!$A$2:$A$54,'data compile'!B$2:B$54)</f>
        <v>1</v>
      </c>
      <c r="C23">
        <f>_xlfn.XLOOKUP($A23,'data compile'!$A$2:$A$54,'data compile'!C$2:C$54)</f>
        <v>107</v>
      </c>
      <c r="D23">
        <f>_xlfn.XLOOKUP($A23,'data compile'!$A$2:$A$54,'data compile'!D$2:D$54)</f>
        <v>47</v>
      </c>
      <c r="E23">
        <f>_xlfn.XLOOKUP($A23,'data compile'!$A$2:$A$54,'data compile'!E$2:E$54)</f>
        <v>11</v>
      </c>
      <c r="F23">
        <f>_xlfn.XLOOKUP($A23,'data compile'!$A$2:$A$54,'data compile'!F$2:F$54)</f>
        <v>2</v>
      </c>
      <c r="G23">
        <f>_xlfn.XLOOKUP($A23,'data compile'!$A$2:$A$54,'data compile'!G$2:G$54)</f>
        <v>0</v>
      </c>
      <c r="H23">
        <f>_xlfn.XLOOKUP($A23,'data compile'!$A$2:$A$54,'data compile'!H$2:H$54)</f>
        <v>168</v>
      </c>
      <c r="I23" t="str">
        <f>_xlfn.XLOOKUP($A23,'data compile'!$A$2:$A$54,'data compile'!I$2:I$54)</f>
        <v>63.69%</v>
      </c>
      <c r="J23">
        <f>_xlfn.XLOOKUP($A23,'data compile'!$A$2:$A$54,'data compile'!J$2:J$54)</f>
        <v>81</v>
      </c>
      <c r="K23">
        <f>_xlfn.XLOOKUP($A23,'data compile'!$A$2:$A$54,'data compile'!K$2:K$54)</f>
        <v>168</v>
      </c>
      <c r="L23">
        <f>_xlfn.XLOOKUP($A23,'data compile'!$A$2:$A$54,'data compile'!L$2:L$54)</f>
        <v>1</v>
      </c>
      <c r="M23">
        <f>_xlfn.XLOOKUP($A23,'data compile'!$A$2:$A$54,'data compile'!M$2:M$54)</f>
        <v>15</v>
      </c>
      <c r="N23" t="str">
        <f>_xlfn.XLOOKUP($A23,'data compile'!$A$2:$A$54,'data compile'!N$2:N$54)</f>
        <v>0.6%</v>
      </c>
      <c r="O23" t="str">
        <f>_xlfn.XLOOKUP($A23,'data compile'!$A$2:$A$54,'data compile'!O$2:O$54)</f>
        <v>8.93%</v>
      </c>
    </row>
    <row r="24" spans="1:15" x14ac:dyDescent="0.3">
      <c r="A24">
        <v>8200826</v>
      </c>
      <c r="B24">
        <f>_xlfn.XLOOKUP($A24,'data compile'!$A$2:$A$54,'data compile'!B$2:B$54)</f>
        <v>1</v>
      </c>
      <c r="C24">
        <f>_xlfn.XLOOKUP($A24,'data compile'!$A$2:$A$54,'data compile'!C$2:C$54)</f>
        <v>134</v>
      </c>
      <c r="D24">
        <f>_xlfn.XLOOKUP($A24,'data compile'!$A$2:$A$54,'data compile'!D$2:D$54)</f>
        <v>27</v>
      </c>
      <c r="E24">
        <f>_xlfn.XLOOKUP($A24,'data compile'!$A$2:$A$54,'data compile'!E$2:E$54)</f>
        <v>33</v>
      </c>
      <c r="F24">
        <f>_xlfn.XLOOKUP($A24,'data compile'!$A$2:$A$54,'data compile'!F$2:F$54)</f>
        <v>28</v>
      </c>
      <c r="G24">
        <f>_xlfn.XLOOKUP($A24,'data compile'!$A$2:$A$54,'data compile'!G$2:G$54)</f>
        <v>36</v>
      </c>
      <c r="H24">
        <f>_xlfn.XLOOKUP($A24,'data compile'!$A$2:$A$54,'data compile'!H$2:H$54)</f>
        <v>259</v>
      </c>
      <c r="I24" t="str">
        <f>_xlfn.XLOOKUP($A24,'data compile'!$A$2:$A$54,'data compile'!I$2:I$54)</f>
        <v>51.74%</v>
      </c>
      <c r="J24">
        <f>_xlfn.XLOOKUP($A24,'data compile'!$A$2:$A$54,'data compile'!J$2:J$54)</f>
        <v>6</v>
      </c>
      <c r="K24">
        <f>_xlfn.XLOOKUP($A24,'data compile'!$A$2:$A$54,'data compile'!K$2:K$54)</f>
        <v>4116</v>
      </c>
      <c r="L24">
        <f>_xlfn.XLOOKUP($A24,'data compile'!$A$2:$A$54,'data compile'!L$2:L$54)</f>
        <v>816</v>
      </c>
      <c r="M24">
        <f>_xlfn.XLOOKUP($A24,'data compile'!$A$2:$A$54,'data compile'!M$2:M$54)</f>
        <v>2050</v>
      </c>
      <c r="N24" t="str">
        <f>_xlfn.XLOOKUP($A24,'data compile'!$A$2:$A$54,'data compile'!N$2:N$54)</f>
        <v>19.83%</v>
      </c>
      <c r="O24" t="str">
        <f>_xlfn.XLOOKUP($A24,'data compile'!$A$2:$A$54,'data compile'!O$2:O$54)</f>
        <v>49.81%</v>
      </c>
    </row>
    <row r="25" spans="1:15" x14ac:dyDescent="0.3">
      <c r="A25">
        <v>43230061</v>
      </c>
      <c r="B25">
        <f>_xlfn.XLOOKUP($A25,'data compile'!$A$2:$A$54,'data compile'!B$2:B$54)</f>
        <v>1</v>
      </c>
      <c r="C25">
        <f>_xlfn.XLOOKUP($A25,'data compile'!$A$2:$A$54,'data compile'!C$2:C$54)</f>
        <v>91</v>
      </c>
      <c r="D25">
        <f>_xlfn.XLOOKUP($A25,'data compile'!$A$2:$A$54,'data compile'!D$2:D$54)</f>
        <v>33</v>
      </c>
      <c r="E25">
        <f>_xlfn.XLOOKUP($A25,'data compile'!$A$2:$A$54,'data compile'!E$2:E$54)</f>
        <v>4</v>
      </c>
      <c r="F25">
        <f>_xlfn.XLOOKUP($A25,'data compile'!$A$2:$A$54,'data compile'!F$2:F$54)</f>
        <v>0</v>
      </c>
      <c r="G25">
        <f>_xlfn.XLOOKUP($A25,'data compile'!$A$2:$A$54,'data compile'!G$2:G$54)</f>
        <v>1</v>
      </c>
      <c r="H25">
        <f>_xlfn.XLOOKUP($A25,'data compile'!$A$2:$A$54,'data compile'!H$2:H$54)</f>
        <v>130</v>
      </c>
      <c r="I25" t="str">
        <f>_xlfn.XLOOKUP($A25,'data compile'!$A$2:$A$54,'data compile'!I$2:I$54)</f>
        <v>70.0%</v>
      </c>
      <c r="J25">
        <f>_xlfn.XLOOKUP($A25,'data compile'!$A$2:$A$54,'data compile'!J$2:J$54)</f>
        <v>77</v>
      </c>
      <c r="K25">
        <f>_xlfn.XLOOKUP($A25,'data compile'!$A$2:$A$54,'data compile'!K$2:K$54)</f>
        <v>130</v>
      </c>
      <c r="L25">
        <f>_xlfn.XLOOKUP($A25,'data compile'!$A$2:$A$54,'data compile'!L$2:L$54)</f>
        <v>0</v>
      </c>
      <c r="M25">
        <f>_xlfn.XLOOKUP($A25,'data compile'!$A$2:$A$54,'data compile'!M$2:M$54)</f>
        <v>54</v>
      </c>
      <c r="N25" t="str">
        <f>_xlfn.XLOOKUP($A25,'data compile'!$A$2:$A$54,'data compile'!N$2:N$54)</f>
        <v>0.0%</v>
      </c>
      <c r="O25" t="str">
        <f>_xlfn.XLOOKUP($A25,'data compile'!$A$2:$A$54,'data compile'!O$2:O$54)</f>
        <v>41.54%</v>
      </c>
    </row>
    <row r="26" spans="1:15" x14ac:dyDescent="0.3">
      <c r="A26">
        <v>43290314</v>
      </c>
      <c r="B26">
        <f>_xlfn.XLOOKUP($A26,'data compile'!$A$2:$A$54,'data compile'!B$2:B$54)</f>
        <v>1</v>
      </c>
      <c r="C26">
        <f>_xlfn.XLOOKUP($A26,'data compile'!$A$2:$A$54,'data compile'!C$2:C$54)</f>
        <v>88</v>
      </c>
      <c r="D26">
        <f>_xlfn.XLOOKUP($A26,'data compile'!$A$2:$A$54,'data compile'!D$2:D$54)</f>
        <v>34</v>
      </c>
      <c r="E26">
        <f>_xlfn.XLOOKUP($A26,'data compile'!$A$2:$A$54,'data compile'!E$2:E$54)</f>
        <v>9</v>
      </c>
      <c r="F26">
        <f>_xlfn.XLOOKUP($A26,'data compile'!$A$2:$A$54,'data compile'!F$2:F$54)</f>
        <v>0</v>
      </c>
      <c r="G26">
        <f>_xlfn.XLOOKUP($A26,'data compile'!$A$2:$A$54,'data compile'!G$2:G$54)</f>
        <v>1</v>
      </c>
      <c r="H26">
        <f>_xlfn.XLOOKUP($A26,'data compile'!$A$2:$A$54,'data compile'!H$2:H$54)</f>
        <v>133</v>
      </c>
      <c r="I26" t="str">
        <f>_xlfn.XLOOKUP($A26,'data compile'!$A$2:$A$54,'data compile'!I$2:I$54)</f>
        <v>66.17%</v>
      </c>
      <c r="J26">
        <f>_xlfn.XLOOKUP($A26,'data compile'!$A$2:$A$54,'data compile'!J$2:J$54)</f>
        <v>72</v>
      </c>
      <c r="K26">
        <f>_xlfn.XLOOKUP($A26,'data compile'!$A$2:$A$54,'data compile'!K$2:K$54)</f>
        <v>133</v>
      </c>
      <c r="L26">
        <f>_xlfn.XLOOKUP($A26,'data compile'!$A$2:$A$54,'data compile'!L$2:L$54)</f>
        <v>1</v>
      </c>
      <c r="M26">
        <f>_xlfn.XLOOKUP($A26,'data compile'!$A$2:$A$54,'data compile'!M$2:M$54)</f>
        <v>30</v>
      </c>
      <c r="N26" t="str">
        <f>_xlfn.XLOOKUP($A26,'data compile'!$A$2:$A$54,'data compile'!N$2:N$54)</f>
        <v>0.75%</v>
      </c>
      <c r="O26" t="str">
        <f>_xlfn.XLOOKUP($A26,'data compile'!$A$2:$A$54,'data compile'!O$2:O$54)</f>
        <v>22.56%</v>
      </c>
    </row>
    <row r="27" spans="1:15" x14ac:dyDescent="0.3">
      <c r="A27">
        <v>43319297</v>
      </c>
      <c r="B27">
        <f>_xlfn.XLOOKUP($A27,'data compile'!$A$2:$A$54,'data compile'!B$2:B$54)</f>
        <v>1</v>
      </c>
      <c r="C27">
        <f>_xlfn.XLOOKUP($A27,'data compile'!$A$2:$A$54,'data compile'!C$2:C$54)</f>
        <v>63</v>
      </c>
      <c r="D27">
        <f>_xlfn.XLOOKUP($A27,'data compile'!$A$2:$A$54,'data compile'!D$2:D$54)</f>
        <v>26</v>
      </c>
      <c r="E27">
        <f>_xlfn.XLOOKUP($A27,'data compile'!$A$2:$A$54,'data compile'!E$2:E$54)</f>
        <v>9</v>
      </c>
      <c r="F27">
        <f>_xlfn.XLOOKUP($A27,'data compile'!$A$2:$A$54,'data compile'!F$2:F$54)</f>
        <v>2</v>
      </c>
      <c r="G27">
        <f>_xlfn.XLOOKUP($A27,'data compile'!$A$2:$A$54,'data compile'!G$2:G$54)</f>
        <v>0</v>
      </c>
      <c r="H27">
        <f>_xlfn.XLOOKUP($A27,'data compile'!$A$2:$A$54,'data compile'!H$2:H$54)</f>
        <v>101</v>
      </c>
      <c r="I27" t="str">
        <f>_xlfn.XLOOKUP($A27,'data compile'!$A$2:$A$54,'data compile'!I$2:I$54)</f>
        <v>62.38%</v>
      </c>
      <c r="J27">
        <f>_xlfn.XLOOKUP($A27,'data compile'!$A$2:$A$54,'data compile'!J$2:J$54)</f>
        <v>50</v>
      </c>
      <c r="K27">
        <f>_xlfn.XLOOKUP($A27,'data compile'!$A$2:$A$54,'data compile'!K$2:K$54)</f>
        <v>101</v>
      </c>
      <c r="L27">
        <f>_xlfn.XLOOKUP($A27,'data compile'!$A$2:$A$54,'data compile'!L$2:L$54)</f>
        <v>0</v>
      </c>
      <c r="M27">
        <f>_xlfn.XLOOKUP($A27,'data compile'!$A$2:$A$54,'data compile'!M$2:M$54)</f>
        <v>6</v>
      </c>
      <c r="N27" t="str">
        <f>_xlfn.XLOOKUP($A27,'data compile'!$A$2:$A$54,'data compile'!N$2:N$54)</f>
        <v>0.0%</v>
      </c>
      <c r="O27" t="str">
        <f>_xlfn.XLOOKUP($A27,'data compile'!$A$2:$A$54,'data compile'!O$2:O$54)</f>
        <v>5.94%</v>
      </c>
    </row>
    <row r="28" spans="1:15" x14ac:dyDescent="0.3">
      <c r="A28">
        <v>43346700</v>
      </c>
      <c r="B28">
        <f>_xlfn.XLOOKUP($A28,'data compile'!$A$2:$A$54,'data compile'!B$2:B$54)</f>
        <v>1</v>
      </c>
      <c r="C28">
        <f>_xlfn.XLOOKUP($A28,'data compile'!$A$2:$A$54,'data compile'!C$2:C$54)</f>
        <v>101</v>
      </c>
      <c r="D28">
        <f>_xlfn.XLOOKUP($A28,'data compile'!$A$2:$A$54,'data compile'!D$2:D$54)</f>
        <v>16</v>
      </c>
      <c r="E28">
        <f>_xlfn.XLOOKUP($A28,'data compile'!$A$2:$A$54,'data compile'!E$2:E$54)</f>
        <v>7</v>
      </c>
      <c r="F28">
        <f>_xlfn.XLOOKUP($A28,'data compile'!$A$2:$A$54,'data compile'!F$2:F$54)</f>
        <v>1</v>
      </c>
      <c r="G28">
        <f>_xlfn.XLOOKUP($A28,'data compile'!$A$2:$A$54,'data compile'!G$2:G$54)</f>
        <v>0</v>
      </c>
      <c r="H28">
        <f>_xlfn.XLOOKUP($A28,'data compile'!$A$2:$A$54,'data compile'!H$2:H$54)</f>
        <v>126</v>
      </c>
      <c r="I28" t="str">
        <f>_xlfn.XLOOKUP($A28,'data compile'!$A$2:$A$54,'data compile'!I$2:I$54)</f>
        <v>80.16%</v>
      </c>
      <c r="J28">
        <f>_xlfn.XLOOKUP($A28,'data compile'!$A$2:$A$54,'data compile'!J$2:J$54)</f>
        <v>77</v>
      </c>
      <c r="K28">
        <f>_xlfn.XLOOKUP($A28,'data compile'!$A$2:$A$54,'data compile'!K$2:K$54)</f>
        <v>126</v>
      </c>
      <c r="L28">
        <f>_xlfn.XLOOKUP($A28,'data compile'!$A$2:$A$54,'data compile'!L$2:L$54)</f>
        <v>0</v>
      </c>
      <c r="M28">
        <f>_xlfn.XLOOKUP($A28,'data compile'!$A$2:$A$54,'data compile'!M$2:M$54)</f>
        <v>16</v>
      </c>
      <c r="N28" t="str">
        <f>_xlfn.XLOOKUP($A28,'data compile'!$A$2:$A$54,'data compile'!N$2:N$54)</f>
        <v>0.0%</v>
      </c>
      <c r="O28" t="str">
        <f>_xlfn.XLOOKUP($A28,'data compile'!$A$2:$A$54,'data compile'!O$2:O$54)</f>
        <v>12.7%</v>
      </c>
    </row>
    <row r="29" spans="1:15" x14ac:dyDescent="0.3">
      <c r="A29">
        <v>43374604</v>
      </c>
      <c r="B29">
        <f>_xlfn.XLOOKUP($A29,'data compile'!$A$2:$A$54,'data compile'!B$2:B$54)</f>
        <v>1</v>
      </c>
      <c r="C29">
        <f>_xlfn.XLOOKUP($A29,'data compile'!$A$2:$A$54,'data compile'!C$2:C$54)</f>
        <v>61</v>
      </c>
      <c r="D29">
        <f>_xlfn.XLOOKUP($A29,'data compile'!$A$2:$A$54,'data compile'!D$2:D$54)</f>
        <v>15</v>
      </c>
      <c r="E29">
        <f>_xlfn.XLOOKUP($A29,'data compile'!$A$2:$A$54,'data compile'!E$2:E$54)</f>
        <v>3</v>
      </c>
      <c r="F29">
        <f>_xlfn.XLOOKUP($A29,'data compile'!$A$2:$A$54,'data compile'!F$2:F$54)</f>
        <v>0</v>
      </c>
      <c r="G29">
        <f>_xlfn.XLOOKUP($A29,'data compile'!$A$2:$A$54,'data compile'!G$2:G$54)</f>
        <v>0</v>
      </c>
      <c r="H29">
        <f>_xlfn.XLOOKUP($A29,'data compile'!$A$2:$A$54,'data compile'!H$2:H$54)</f>
        <v>80</v>
      </c>
      <c r="I29" t="str">
        <f>_xlfn.XLOOKUP($A29,'data compile'!$A$2:$A$54,'data compile'!I$2:I$54)</f>
        <v>76.25%</v>
      </c>
      <c r="J29">
        <f>_xlfn.XLOOKUP($A29,'data compile'!$A$2:$A$54,'data compile'!J$2:J$54)</f>
        <v>56</v>
      </c>
      <c r="K29">
        <f>_xlfn.XLOOKUP($A29,'data compile'!$A$2:$A$54,'data compile'!K$2:K$54)</f>
        <v>80</v>
      </c>
      <c r="L29">
        <f>_xlfn.XLOOKUP($A29,'data compile'!$A$2:$A$54,'data compile'!L$2:L$54)</f>
        <v>0</v>
      </c>
      <c r="M29">
        <f>_xlfn.XLOOKUP($A29,'data compile'!$A$2:$A$54,'data compile'!M$2:M$54)</f>
        <v>8</v>
      </c>
      <c r="N29" t="str">
        <f>_xlfn.XLOOKUP($A29,'data compile'!$A$2:$A$54,'data compile'!N$2:N$54)</f>
        <v>0.0%</v>
      </c>
      <c r="O29" t="str">
        <f>_xlfn.XLOOKUP($A29,'data compile'!$A$2:$A$54,'data compile'!O$2:O$54)</f>
        <v>10.0%</v>
      </c>
    </row>
    <row r="30" spans="1:15" x14ac:dyDescent="0.3">
      <c r="A30">
        <v>43402439</v>
      </c>
      <c r="B30">
        <f>_xlfn.XLOOKUP($A30,'data compile'!$A$2:$A$54,'data compile'!B$2:B$54)</f>
        <v>1</v>
      </c>
      <c r="C30">
        <f>_xlfn.XLOOKUP($A30,'data compile'!$A$2:$A$54,'data compile'!C$2:C$54)</f>
        <v>96</v>
      </c>
      <c r="D30">
        <f>_xlfn.XLOOKUP($A30,'data compile'!$A$2:$A$54,'data compile'!D$2:D$54)</f>
        <v>26</v>
      </c>
      <c r="E30">
        <f>_xlfn.XLOOKUP($A30,'data compile'!$A$2:$A$54,'data compile'!E$2:E$54)</f>
        <v>6</v>
      </c>
      <c r="F30">
        <f>_xlfn.XLOOKUP($A30,'data compile'!$A$2:$A$54,'data compile'!F$2:F$54)</f>
        <v>1</v>
      </c>
      <c r="G30">
        <f>_xlfn.XLOOKUP($A30,'data compile'!$A$2:$A$54,'data compile'!G$2:G$54)</f>
        <v>0</v>
      </c>
      <c r="H30">
        <f>_xlfn.XLOOKUP($A30,'data compile'!$A$2:$A$54,'data compile'!H$2:H$54)</f>
        <v>130</v>
      </c>
      <c r="I30" t="str">
        <f>_xlfn.XLOOKUP($A30,'data compile'!$A$2:$A$54,'data compile'!I$2:I$54)</f>
        <v>73.85%</v>
      </c>
      <c r="J30">
        <f>_xlfn.XLOOKUP($A30,'data compile'!$A$2:$A$54,'data compile'!J$2:J$54)</f>
        <v>89</v>
      </c>
      <c r="K30">
        <f>_xlfn.XLOOKUP($A30,'data compile'!$A$2:$A$54,'data compile'!K$2:K$54)</f>
        <v>130</v>
      </c>
      <c r="L30">
        <f>_xlfn.XLOOKUP($A30,'data compile'!$A$2:$A$54,'data compile'!L$2:L$54)</f>
        <v>5</v>
      </c>
      <c r="M30">
        <f>_xlfn.XLOOKUP($A30,'data compile'!$A$2:$A$54,'data compile'!M$2:M$54)</f>
        <v>4</v>
      </c>
      <c r="N30" t="str">
        <f>_xlfn.XLOOKUP($A30,'data compile'!$A$2:$A$54,'data compile'!N$2:N$54)</f>
        <v>3.85%</v>
      </c>
      <c r="O30" t="str">
        <f>_xlfn.XLOOKUP($A30,'data compile'!$A$2:$A$54,'data compile'!O$2:O$54)</f>
        <v>3.08%</v>
      </c>
    </row>
    <row r="31" spans="1:15" x14ac:dyDescent="0.3">
      <c r="A31">
        <v>43430885</v>
      </c>
      <c r="B31">
        <f>_xlfn.XLOOKUP($A31,'data compile'!$A$2:$A$54,'data compile'!B$2:B$54)</f>
        <v>1</v>
      </c>
      <c r="C31">
        <f>_xlfn.XLOOKUP($A31,'data compile'!$A$2:$A$54,'data compile'!C$2:C$54)</f>
        <v>75</v>
      </c>
      <c r="D31">
        <f>_xlfn.XLOOKUP($A31,'data compile'!$A$2:$A$54,'data compile'!D$2:D$54)</f>
        <v>22</v>
      </c>
      <c r="E31">
        <f>_xlfn.XLOOKUP($A31,'data compile'!$A$2:$A$54,'data compile'!E$2:E$54)</f>
        <v>7</v>
      </c>
      <c r="F31">
        <f>_xlfn.XLOOKUP($A31,'data compile'!$A$2:$A$54,'data compile'!F$2:F$54)</f>
        <v>1</v>
      </c>
      <c r="G31">
        <f>_xlfn.XLOOKUP($A31,'data compile'!$A$2:$A$54,'data compile'!G$2:G$54)</f>
        <v>0</v>
      </c>
      <c r="H31">
        <f>_xlfn.XLOOKUP($A31,'data compile'!$A$2:$A$54,'data compile'!H$2:H$54)</f>
        <v>106</v>
      </c>
      <c r="I31" t="str">
        <f>_xlfn.XLOOKUP($A31,'data compile'!$A$2:$A$54,'data compile'!I$2:I$54)</f>
        <v>70.75%</v>
      </c>
      <c r="J31">
        <f>_xlfn.XLOOKUP($A31,'data compile'!$A$2:$A$54,'data compile'!J$2:J$54)</f>
        <v>70</v>
      </c>
      <c r="K31">
        <f>_xlfn.XLOOKUP($A31,'data compile'!$A$2:$A$54,'data compile'!K$2:K$54)</f>
        <v>106</v>
      </c>
      <c r="L31">
        <f>_xlfn.XLOOKUP($A31,'data compile'!$A$2:$A$54,'data compile'!L$2:L$54)</f>
        <v>0</v>
      </c>
      <c r="M31">
        <f>_xlfn.XLOOKUP($A31,'data compile'!$A$2:$A$54,'data compile'!M$2:M$54)</f>
        <v>6</v>
      </c>
      <c r="N31" t="str">
        <f>_xlfn.XLOOKUP($A31,'data compile'!$A$2:$A$54,'data compile'!N$2:N$54)</f>
        <v>0.0%</v>
      </c>
      <c r="O31" t="str">
        <f>_xlfn.XLOOKUP($A31,'data compile'!$A$2:$A$54,'data compile'!O$2:O$54)</f>
        <v>5.66%</v>
      </c>
    </row>
    <row r="32" spans="1:15" x14ac:dyDescent="0.3">
      <c r="A32">
        <v>43539274</v>
      </c>
      <c r="B32">
        <f>_xlfn.XLOOKUP($A32,'data compile'!$A$2:$A$54,'data compile'!B$2:B$54)</f>
        <v>1</v>
      </c>
      <c r="C32">
        <f>_xlfn.XLOOKUP($A32,'data compile'!$A$2:$A$54,'data compile'!C$2:C$54)</f>
        <v>110</v>
      </c>
      <c r="D32">
        <f>_xlfn.XLOOKUP($A32,'data compile'!$A$2:$A$54,'data compile'!D$2:D$54)</f>
        <v>24</v>
      </c>
      <c r="E32">
        <f>_xlfn.XLOOKUP($A32,'data compile'!$A$2:$A$54,'data compile'!E$2:E$54)</f>
        <v>4</v>
      </c>
      <c r="F32">
        <f>_xlfn.XLOOKUP($A32,'data compile'!$A$2:$A$54,'data compile'!F$2:F$54)</f>
        <v>1</v>
      </c>
      <c r="G32">
        <f>_xlfn.XLOOKUP($A32,'data compile'!$A$2:$A$54,'data compile'!G$2:G$54)</f>
        <v>0</v>
      </c>
      <c r="H32">
        <f>_xlfn.XLOOKUP($A32,'data compile'!$A$2:$A$54,'data compile'!H$2:H$54)</f>
        <v>140</v>
      </c>
      <c r="I32" t="str">
        <f>_xlfn.XLOOKUP($A32,'data compile'!$A$2:$A$54,'data compile'!I$2:I$54)</f>
        <v>78.57%</v>
      </c>
      <c r="J32">
        <f>_xlfn.XLOOKUP($A32,'data compile'!$A$2:$A$54,'data compile'!J$2:J$54)</f>
        <v>103</v>
      </c>
      <c r="K32">
        <f>_xlfn.XLOOKUP($A32,'data compile'!$A$2:$A$54,'data compile'!K$2:K$54)</f>
        <v>140</v>
      </c>
      <c r="L32">
        <f>_xlfn.XLOOKUP($A32,'data compile'!$A$2:$A$54,'data compile'!L$2:L$54)</f>
        <v>0</v>
      </c>
      <c r="M32">
        <f>_xlfn.XLOOKUP($A32,'data compile'!$A$2:$A$54,'data compile'!M$2:M$54)</f>
        <v>11</v>
      </c>
      <c r="N32" t="str">
        <f>_xlfn.XLOOKUP($A32,'data compile'!$A$2:$A$54,'data compile'!N$2:N$54)</f>
        <v>0.0%</v>
      </c>
      <c r="O32" t="str">
        <f>_xlfn.XLOOKUP($A32,'data compile'!$A$2:$A$54,'data compile'!O$2:O$54)</f>
        <v>7.86%</v>
      </c>
    </row>
    <row r="33" spans="1:15" x14ac:dyDescent="0.3">
      <c r="A33">
        <v>43566043</v>
      </c>
      <c r="B33">
        <f>_xlfn.XLOOKUP($A33,'data compile'!$A$2:$A$54,'data compile'!B$2:B$54)</f>
        <v>1</v>
      </c>
      <c r="C33">
        <f>_xlfn.XLOOKUP($A33,'data compile'!$A$2:$A$54,'data compile'!C$2:C$54)</f>
        <v>107</v>
      </c>
      <c r="D33">
        <f>_xlfn.XLOOKUP($A33,'data compile'!$A$2:$A$54,'data compile'!D$2:D$54)</f>
        <v>28</v>
      </c>
      <c r="E33">
        <f>_xlfn.XLOOKUP($A33,'data compile'!$A$2:$A$54,'data compile'!E$2:E$54)</f>
        <v>3</v>
      </c>
      <c r="F33">
        <f>_xlfn.XLOOKUP($A33,'data compile'!$A$2:$A$54,'data compile'!F$2:F$54)</f>
        <v>1</v>
      </c>
      <c r="G33">
        <f>_xlfn.XLOOKUP($A33,'data compile'!$A$2:$A$54,'data compile'!G$2:G$54)</f>
        <v>0</v>
      </c>
      <c r="H33">
        <f>_xlfn.XLOOKUP($A33,'data compile'!$A$2:$A$54,'data compile'!H$2:H$54)</f>
        <v>140</v>
      </c>
      <c r="I33" t="str">
        <f>_xlfn.XLOOKUP($A33,'data compile'!$A$2:$A$54,'data compile'!I$2:I$54)</f>
        <v>76.43%</v>
      </c>
      <c r="J33">
        <f>_xlfn.XLOOKUP($A33,'data compile'!$A$2:$A$54,'data compile'!J$2:J$54)</f>
        <v>99</v>
      </c>
      <c r="K33">
        <f>_xlfn.XLOOKUP($A33,'data compile'!$A$2:$A$54,'data compile'!K$2:K$54)</f>
        <v>140</v>
      </c>
      <c r="L33">
        <f>_xlfn.XLOOKUP($A33,'data compile'!$A$2:$A$54,'data compile'!L$2:L$54)</f>
        <v>1</v>
      </c>
      <c r="M33">
        <f>_xlfn.XLOOKUP($A33,'data compile'!$A$2:$A$54,'data compile'!M$2:M$54)</f>
        <v>11</v>
      </c>
      <c r="N33" t="str">
        <f>_xlfn.XLOOKUP($A33,'data compile'!$A$2:$A$54,'data compile'!N$2:N$54)</f>
        <v>0.71%</v>
      </c>
      <c r="O33" t="str">
        <f>_xlfn.XLOOKUP($A33,'data compile'!$A$2:$A$54,'data compile'!O$2:O$54)</f>
        <v>7.86%</v>
      </c>
    </row>
    <row r="34" spans="1:15" x14ac:dyDescent="0.3">
      <c r="A34">
        <v>43593087</v>
      </c>
      <c r="B34">
        <f>_xlfn.XLOOKUP($A34,'data compile'!$A$2:$A$54,'data compile'!B$2:B$54)</f>
        <v>1</v>
      </c>
      <c r="C34">
        <f>_xlfn.XLOOKUP($A34,'data compile'!$A$2:$A$54,'data compile'!C$2:C$54)</f>
        <v>97</v>
      </c>
      <c r="D34">
        <f>_xlfn.XLOOKUP($A34,'data compile'!$A$2:$A$54,'data compile'!D$2:D$54)</f>
        <v>26</v>
      </c>
      <c r="E34">
        <f>_xlfn.XLOOKUP($A34,'data compile'!$A$2:$A$54,'data compile'!E$2:E$54)</f>
        <v>0</v>
      </c>
      <c r="F34">
        <f>_xlfn.XLOOKUP($A34,'data compile'!$A$2:$A$54,'data compile'!F$2:F$54)</f>
        <v>1</v>
      </c>
      <c r="G34">
        <f>_xlfn.XLOOKUP($A34,'data compile'!$A$2:$A$54,'data compile'!G$2:G$54)</f>
        <v>0</v>
      </c>
      <c r="H34">
        <f>_xlfn.XLOOKUP($A34,'data compile'!$A$2:$A$54,'data compile'!H$2:H$54)</f>
        <v>125</v>
      </c>
      <c r="I34" t="str">
        <f>_xlfn.XLOOKUP($A34,'data compile'!$A$2:$A$54,'data compile'!I$2:I$54)</f>
        <v>77.6%</v>
      </c>
      <c r="J34">
        <f>_xlfn.XLOOKUP($A34,'data compile'!$A$2:$A$54,'data compile'!J$2:J$54)</f>
        <v>92</v>
      </c>
      <c r="K34">
        <f>_xlfn.XLOOKUP($A34,'data compile'!$A$2:$A$54,'data compile'!K$2:K$54)</f>
        <v>125</v>
      </c>
      <c r="L34">
        <f>_xlfn.XLOOKUP($A34,'data compile'!$A$2:$A$54,'data compile'!L$2:L$54)</f>
        <v>0</v>
      </c>
      <c r="M34">
        <f>_xlfn.XLOOKUP($A34,'data compile'!$A$2:$A$54,'data compile'!M$2:M$54)</f>
        <v>8</v>
      </c>
      <c r="N34" t="str">
        <f>_xlfn.XLOOKUP($A34,'data compile'!$A$2:$A$54,'data compile'!N$2:N$54)</f>
        <v>0.0%</v>
      </c>
      <c r="O34" t="str">
        <f>_xlfn.XLOOKUP($A34,'data compile'!$A$2:$A$54,'data compile'!O$2:O$54)</f>
        <v>6.4%</v>
      </c>
    </row>
    <row r="35" spans="1:15" x14ac:dyDescent="0.3">
      <c r="A35">
        <v>43614456</v>
      </c>
      <c r="B35">
        <f>_xlfn.XLOOKUP($A35,'data compile'!$A$2:$A$54,'data compile'!B$2:B$54)</f>
        <v>1</v>
      </c>
      <c r="C35">
        <f>_xlfn.XLOOKUP($A35,'data compile'!$A$2:$A$54,'data compile'!C$2:C$54)</f>
        <v>68</v>
      </c>
      <c r="D35">
        <f>_xlfn.XLOOKUP($A35,'data compile'!$A$2:$A$54,'data compile'!D$2:D$54)</f>
        <v>20</v>
      </c>
      <c r="E35">
        <f>_xlfn.XLOOKUP($A35,'data compile'!$A$2:$A$54,'data compile'!E$2:E$54)</f>
        <v>2</v>
      </c>
      <c r="F35">
        <f>_xlfn.XLOOKUP($A35,'data compile'!$A$2:$A$54,'data compile'!F$2:F$54)</f>
        <v>2</v>
      </c>
      <c r="G35">
        <f>_xlfn.XLOOKUP($A35,'data compile'!$A$2:$A$54,'data compile'!G$2:G$54)</f>
        <v>1</v>
      </c>
      <c r="H35">
        <f>_xlfn.XLOOKUP($A35,'data compile'!$A$2:$A$54,'data compile'!H$2:H$54)</f>
        <v>94</v>
      </c>
      <c r="I35" t="str">
        <f>_xlfn.XLOOKUP($A35,'data compile'!$A$2:$A$54,'data compile'!I$2:I$54)</f>
        <v>72.34%</v>
      </c>
      <c r="J35">
        <f>_xlfn.XLOOKUP($A35,'data compile'!$A$2:$A$54,'data compile'!J$2:J$54)</f>
        <v>61</v>
      </c>
      <c r="K35">
        <f>_xlfn.XLOOKUP($A35,'data compile'!$A$2:$A$54,'data compile'!K$2:K$54)</f>
        <v>94</v>
      </c>
      <c r="L35">
        <f>_xlfn.XLOOKUP($A35,'data compile'!$A$2:$A$54,'data compile'!L$2:L$54)</f>
        <v>1</v>
      </c>
      <c r="M35">
        <f>_xlfn.XLOOKUP($A35,'data compile'!$A$2:$A$54,'data compile'!M$2:M$54)</f>
        <v>12</v>
      </c>
      <c r="N35" t="str">
        <f>_xlfn.XLOOKUP($A35,'data compile'!$A$2:$A$54,'data compile'!N$2:N$54)</f>
        <v>1.06%</v>
      </c>
      <c r="O35" t="str">
        <f>_xlfn.XLOOKUP($A35,'data compile'!$A$2:$A$54,'data compile'!O$2:O$54)</f>
        <v>12.77%</v>
      </c>
    </row>
    <row r="36" spans="1:15" x14ac:dyDescent="0.3">
      <c r="A36">
        <v>43674483</v>
      </c>
      <c r="B36">
        <f>_xlfn.XLOOKUP($A36,'data compile'!$A$2:$A$54,'data compile'!B$2:B$54)</f>
        <v>1</v>
      </c>
      <c r="C36">
        <f>_xlfn.XLOOKUP($A36,'data compile'!$A$2:$A$54,'data compile'!C$2:C$54)</f>
        <v>84</v>
      </c>
      <c r="D36">
        <f>_xlfn.XLOOKUP($A36,'data compile'!$A$2:$A$54,'data compile'!D$2:D$54)</f>
        <v>13</v>
      </c>
      <c r="E36">
        <f>_xlfn.XLOOKUP($A36,'data compile'!$A$2:$A$54,'data compile'!E$2:E$54)</f>
        <v>3</v>
      </c>
      <c r="F36">
        <f>_xlfn.XLOOKUP($A36,'data compile'!$A$2:$A$54,'data compile'!F$2:F$54)</f>
        <v>0</v>
      </c>
      <c r="G36">
        <f>_xlfn.XLOOKUP($A36,'data compile'!$A$2:$A$54,'data compile'!G$2:G$54)</f>
        <v>0</v>
      </c>
      <c r="H36">
        <f>_xlfn.XLOOKUP($A36,'data compile'!$A$2:$A$54,'data compile'!H$2:H$54)</f>
        <v>101</v>
      </c>
      <c r="I36" t="str">
        <f>_xlfn.XLOOKUP($A36,'data compile'!$A$2:$A$54,'data compile'!I$2:I$54)</f>
        <v>83.17%</v>
      </c>
      <c r="J36">
        <f>_xlfn.XLOOKUP($A36,'data compile'!$A$2:$A$54,'data compile'!J$2:J$54)</f>
        <v>79</v>
      </c>
      <c r="K36">
        <f>_xlfn.XLOOKUP($A36,'data compile'!$A$2:$A$54,'data compile'!K$2:K$54)</f>
        <v>101</v>
      </c>
      <c r="L36">
        <f>_xlfn.XLOOKUP($A36,'data compile'!$A$2:$A$54,'data compile'!L$2:L$54)</f>
        <v>1</v>
      </c>
      <c r="M36">
        <f>_xlfn.XLOOKUP($A36,'data compile'!$A$2:$A$54,'data compile'!M$2:M$54)</f>
        <v>6</v>
      </c>
      <c r="N36" t="str">
        <f>_xlfn.XLOOKUP($A36,'data compile'!$A$2:$A$54,'data compile'!N$2:N$54)</f>
        <v>0.99%</v>
      </c>
      <c r="O36" t="str">
        <f>_xlfn.XLOOKUP($A36,'data compile'!$A$2:$A$54,'data compile'!O$2:O$54)</f>
        <v>5.94%</v>
      </c>
    </row>
    <row r="37" spans="1:15" x14ac:dyDescent="0.3">
      <c r="A37">
        <v>43862968</v>
      </c>
      <c r="B37">
        <f>_xlfn.XLOOKUP($A37,'data compile'!$A$2:$A$54,'data compile'!B$2:B$54)</f>
        <v>1</v>
      </c>
      <c r="C37">
        <f>_xlfn.XLOOKUP($A37,'data compile'!$A$2:$A$54,'data compile'!C$2:C$54)</f>
        <v>117</v>
      </c>
      <c r="D37">
        <f>_xlfn.XLOOKUP($A37,'data compile'!$A$2:$A$54,'data compile'!D$2:D$54)</f>
        <v>23</v>
      </c>
      <c r="E37">
        <f>_xlfn.XLOOKUP($A37,'data compile'!$A$2:$A$54,'data compile'!E$2:E$54)</f>
        <v>1</v>
      </c>
      <c r="F37">
        <f>_xlfn.XLOOKUP($A37,'data compile'!$A$2:$A$54,'data compile'!F$2:F$54)</f>
        <v>1</v>
      </c>
      <c r="G37">
        <f>_xlfn.XLOOKUP($A37,'data compile'!$A$2:$A$54,'data compile'!G$2:G$54)</f>
        <v>1</v>
      </c>
      <c r="H37">
        <f>_xlfn.XLOOKUP($A37,'data compile'!$A$2:$A$54,'data compile'!H$2:H$54)</f>
        <v>144</v>
      </c>
      <c r="I37" t="str">
        <f>_xlfn.XLOOKUP($A37,'data compile'!$A$2:$A$54,'data compile'!I$2:I$54)</f>
        <v>81.25%</v>
      </c>
      <c r="J37">
        <f>_xlfn.XLOOKUP($A37,'data compile'!$A$2:$A$54,'data compile'!J$2:J$54)</f>
        <v>70</v>
      </c>
      <c r="K37">
        <f>_xlfn.XLOOKUP($A37,'data compile'!$A$2:$A$54,'data compile'!K$2:K$54)</f>
        <v>144</v>
      </c>
      <c r="L37">
        <f>_xlfn.XLOOKUP($A37,'data compile'!$A$2:$A$54,'data compile'!L$2:L$54)</f>
        <v>1</v>
      </c>
      <c r="M37">
        <f>_xlfn.XLOOKUP($A37,'data compile'!$A$2:$A$54,'data compile'!M$2:M$54)</f>
        <v>10</v>
      </c>
      <c r="N37" t="str">
        <f>_xlfn.XLOOKUP($A37,'data compile'!$A$2:$A$54,'data compile'!N$2:N$54)</f>
        <v>0.69%</v>
      </c>
      <c r="O37" t="str">
        <f>_xlfn.XLOOKUP($A37,'data compile'!$A$2:$A$54,'data compile'!O$2:O$54)</f>
        <v>6.94%</v>
      </c>
    </row>
    <row r="38" spans="1:15" x14ac:dyDescent="0.3">
      <c r="A38">
        <v>43891958</v>
      </c>
      <c r="B38">
        <f>_xlfn.XLOOKUP($A38,'data compile'!$A$2:$A$54,'data compile'!B$2:B$54)</f>
        <v>1</v>
      </c>
      <c r="C38">
        <f>_xlfn.XLOOKUP($A38,'data compile'!$A$2:$A$54,'data compile'!C$2:C$54)</f>
        <v>87</v>
      </c>
      <c r="D38">
        <f>_xlfn.XLOOKUP($A38,'data compile'!$A$2:$A$54,'data compile'!D$2:D$54)</f>
        <v>30</v>
      </c>
      <c r="E38">
        <f>_xlfn.XLOOKUP($A38,'data compile'!$A$2:$A$54,'data compile'!E$2:E$54)</f>
        <v>3</v>
      </c>
      <c r="F38">
        <f>_xlfn.XLOOKUP($A38,'data compile'!$A$2:$A$54,'data compile'!F$2:F$54)</f>
        <v>0</v>
      </c>
      <c r="G38">
        <f>_xlfn.XLOOKUP($A38,'data compile'!$A$2:$A$54,'data compile'!G$2:G$54)</f>
        <v>0</v>
      </c>
      <c r="H38">
        <f>_xlfn.XLOOKUP($A38,'data compile'!$A$2:$A$54,'data compile'!H$2:H$54)</f>
        <v>121</v>
      </c>
      <c r="I38" t="str">
        <f>_xlfn.XLOOKUP($A38,'data compile'!$A$2:$A$54,'data compile'!I$2:I$54)</f>
        <v>71.9%</v>
      </c>
      <c r="J38">
        <f>_xlfn.XLOOKUP($A38,'data compile'!$A$2:$A$54,'data compile'!J$2:J$54)</f>
        <v>82</v>
      </c>
      <c r="K38">
        <f>_xlfn.XLOOKUP($A38,'data compile'!$A$2:$A$54,'data compile'!K$2:K$54)</f>
        <v>121</v>
      </c>
      <c r="L38">
        <f>_xlfn.XLOOKUP($A38,'data compile'!$A$2:$A$54,'data compile'!L$2:L$54)</f>
        <v>1</v>
      </c>
      <c r="M38">
        <f>_xlfn.XLOOKUP($A38,'data compile'!$A$2:$A$54,'data compile'!M$2:M$54)</f>
        <v>4</v>
      </c>
      <c r="N38" t="str">
        <f>_xlfn.XLOOKUP($A38,'data compile'!$A$2:$A$54,'data compile'!N$2:N$54)</f>
        <v>0.83%</v>
      </c>
      <c r="O38" t="str">
        <f>_xlfn.XLOOKUP($A38,'data compile'!$A$2:$A$54,'data compile'!O$2:O$54)</f>
        <v>3.31%</v>
      </c>
    </row>
    <row r="39" spans="1:15" x14ac:dyDescent="0.3">
      <c r="A39">
        <v>43920615</v>
      </c>
      <c r="B39">
        <f>_xlfn.XLOOKUP($A39,'data compile'!$A$2:$A$54,'data compile'!B$2:B$54)</f>
        <v>1</v>
      </c>
      <c r="C39">
        <f>_xlfn.XLOOKUP($A39,'data compile'!$A$2:$A$54,'data compile'!C$2:C$54)</f>
        <v>96</v>
      </c>
      <c r="D39">
        <f>_xlfn.XLOOKUP($A39,'data compile'!$A$2:$A$54,'data compile'!D$2:D$54)</f>
        <v>27</v>
      </c>
      <c r="E39">
        <f>_xlfn.XLOOKUP($A39,'data compile'!$A$2:$A$54,'data compile'!E$2:E$54)</f>
        <v>1</v>
      </c>
      <c r="F39">
        <f>_xlfn.XLOOKUP($A39,'data compile'!$A$2:$A$54,'data compile'!F$2:F$54)</f>
        <v>1</v>
      </c>
      <c r="G39">
        <f>_xlfn.XLOOKUP($A39,'data compile'!$A$2:$A$54,'data compile'!G$2:G$54)</f>
        <v>0</v>
      </c>
      <c r="H39">
        <f>_xlfn.XLOOKUP($A39,'data compile'!$A$2:$A$54,'data compile'!H$2:H$54)</f>
        <v>126</v>
      </c>
      <c r="I39" t="str">
        <f>_xlfn.XLOOKUP($A39,'data compile'!$A$2:$A$54,'data compile'!I$2:I$54)</f>
        <v>76.19%</v>
      </c>
      <c r="J39">
        <f>_xlfn.XLOOKUP($A39,'data compile'!$A$2:$A$54,'data compile'!J$2:J$54)</f>
        <v>91</v>
      </c>
      <c r="K39">
        <f>_xlfn.XLOOKUP($A39,'data compile'!$A$2:$A$54,'data compile'!K$2:K$54)</f>
        <v>126</v>
      </c>
      <c r="L39">
        <f>_xlfn.XLOOKUP($A39,'data compile'!$A$2:$A$54,'data compile'!L$2:L$54)</f>
        <v>0</v>
      </c>
      <c r="M39">
        <f>_xlfn.XLOOKUP($A39,'data compile'!$A$2:$A$54,'data compile'!M$2:M$54)</f>
        <v>8</v>
      </c>
      <c r="N39" t="str">
        <f>_xlfn.XLOOKUP($A39,'data compile'!$A$2:$A$54,'data compile'!N$2:N$54)</f>
        <v>0.0%</v>
      </c>
      <c r="O39" t="str">
        <f>_xlfn.XLOOKUP($A39,'data compile'!$A$2:$A$54,'data compile'!O$2:O$54)</f>
        <v>6.35%</v>
      </c>
    </row>
    <row r="40" spans="1:15" x14ac:dyDescent="0.3">
      <c r="A40">
        <v>43949404</v>
      </c>
      <c r="B40">
        <f>_xlfn.XLOOKUP($A40,'data compile'!$A$2:$A$54,'data compile'!B$2:B$54)</f>
        <v>1</v>
      </c>
      <c r="C40">
        <f>_xlfn.XLOOKUP($A40,'data compile'!$A$2:$A$54,'data compile'!C$2:C$54)</f>
        <v>79</v>
      </c>
      <c r="D40">
        <f>_xlfn.XLOOKUP($A40,'data compile'!$A$2:$A$54,'data compile'!D$2:D$54)</f>
        <v>26</v>
      </c>
      <c r="E40">
        <f>_xlfn.XLOOKUP($A40,'data compile'!$A$2:$A$54,'data compile'!E$2:E$54)</f>
        <v>3</v>
      </c>
      <c r="F40">
        <f>_xlfn.XLOOKUP($A40,'data compile'!$A$2:$A$54,'data compile'!F$2:F$54)</f>
        <v>1</v>
      </c>
      <c r="G40">
        <f>_xlfn.XLOOKUP($A40,'data compile'!$A$2:$A$54,'data compile'!G$2:G$54)</f>
        <v>0</v>
      </c>
      <c r="H40">
        <f>_xlfn.XLOOKUP($A40,'data compile'!$A$2:$A$54,'data compile'!H$2:H$54)</f>
        <v>110</v>
      </c>
      <c r="I40" t="str">
        <f>_xlfn.XLOOKUP($A40,'data compile'!$A$2:$A$54,'data compile'!I$2:I$54)</f>
        <v>71.82%</v>
      </c>
      <c r="J40">
        <f>_xlfn.XLOOKUP($A40,'data compile'!$A$2:$A$54,'data compile'!J$2:J$54)</f>
        <v>74</v>
      </c>
      <c r="K40">
        <f>_xlfn.XLOOKUP($A40,'data compile'!$A$2:$A$54,'data compile'!K$2:K$54)</f>
        <v>110</v>
      </c>
      <c r="L40">
        <f>_xlfn.XLOOKUP($A40,'data compile'!$A$2:$A$54,'data compile'!L$2:L$54)</f>
        <v>0</v>
      </c>
      <c r="M40">
        <f>_xlfn.XLOOKUP($A40,'data compile'!$A$2:$A$54,'data compile'!M$2:M$54)</f>
        <v>5</v>
      </c>
      <c r="N40" t="str">
        <f>_xlfn.XLOOKUP($A40,'data compile'!$A$2:$A$54,'data compile'!N$2:N$54)</f>
        <v>0.0%</v>
      </c>
      <c r="O40" t="str">
        <f>_xlfn.XLOOKUP($A40,'data compile'!$A$2:$A$54,'data compile'!O$2:O$54)</f>
        <v>4.55%</v>
      </c>
    </row>
    <row r="41" spans="1:15" x14ac:dyDescent="0.3">
      <c r="A41">
        <v>43978801</v>
      </c>
      <c r="B41">
        <f>_xlfn.XLOOKUP($A41,'data compile'!$A$2:$A$54,'data compile'!B$2:B$54)</f>
        <v>1</v>
      </c>
      <c r="C41">
        <f>_xlfn.XLOOKUP($A41,'data compile'!$A$2:$A$54,'data compile'!C$2:C$54)</f>
        <v>65</v>
      </c>
      <c r="D41">
        <f>_xlfn.XLOOKUP($A41,'data compile'!$A$2:$A$54,'data compile'!D$2:D$54)</f>
        <v>19</v>
      </c>
      <c r="E41">
        <f>_xlfn.XLOOKUP($A41,'data compile'!$A$2:$A$54,'data compile'!E$2:E$54)</f>
        <v>1</v>
      </c>
      <c r="F41">
        <f>_xlfn.XLOOKUP($A41,'data compile'!$A$2:$A$54,'data compile'!F$2:F$54)</f>
        <v>1</v>
      </c>
      <c r="G41">
        <f>_xlfn.XLOOKUP($A41,'data compile'!$A$2:$A$54,'data compile'!G$2:G$54)</f>
        <v>0</v>
      </c>
      <c r="H41">
        <f>_xlfn.XLOOKUP($A41,'data compile'!$A$2:$A$54,'data compile'!H$2:H$54)</f>
        <v>87</v>
      </c>
      <c r="I41" t="str">
        <f>_xlfn.XLOOKUP($A41,'data compile'!$A$2:$A$54,'data compile'!I$2:I$54)</f>
        <v>74.71%</v>
      </c>
      <c r="J41">
        <f>_xlfn.XLOOKUP($A41,'data compile'!$A$2:$A$54,'data compile'!J$2:J$54)</f>
        <v>60</v>
      </c>
      <c r="K41">
        <f>_xlfn.XLOOKUP($A41,'data compile'!$A$2:$A$54,'data compile'!K$2:K$54)</f>
        <v>87</v>
      </c>
      <c r="L41">
        <f>_xlfn.XLOOKUP($A41,'data compile'!$A$2:$A$54,'data compile'!L$2:L$54)</f>
        <v>0</v>
      </c>
      <c r="M41">
        <f>_xlfn.XLOOKUP($A41,'data compile'!$A$2:$A$54,'data compile'!M$2:M$54)</f>
        <v>12</v>
      </c>
      <c r="N41" t="str">
        <f>_xlfn.XLOOKUP($A41,'data compile'!$A$2:$A$54,'data compile'!N$2:N$54)</f>
        <v>0.0%</v>
      </c>
      <c r="O41" t="str">
        <f>_xlfn.XLOOKUP($A41,'data compile'!$A$2:$A$54,'data compile'!O$2:O$54)</f>
        <v>13.79%</v>
      </c>
    </row>
    <row r="42" spans="1:15" x14ac:dyDescent="0.3">
      <c r="A42">
        <v>44010401</v>
      </c>
      <c r="B42">
        <f>_xlfn.XLOOKUP($A42,'data compile'!$A$2:$A$54,'data compile'!B$2:B$54)</f>
        <v>1</v>
      </c>
      <c r="C42">
        <f>_xlfn.XLOOKUP($A42,'data compile'!$A$2:$A$54,'data compile'!C$2:C$54)</f>
        <v>62</v>
      </c>
      <c r="D42">
        <f>_xlfn.XLOOKUP($A42,'data compile'!$A$2:$A$54,'data compile'!D$2:D$54)</f>
        <v>36</v>
      </c>
      <c r="E42">
        <f>_xlfn.XLOOKUP($A42,'data compile'!$A$2:$A$54,'data compile'!E$2:E$54)</f>
        <v>2</v>
      </c>
      <c r="F42">
        <f>_xlfn.XLOOKUP($A42,'data compile'!$A$2:$A$54,'data compile'!F$2:F$54)</f>
        <v>2</v>
      </c>
      <c r="G42">
        <f>_xlfn.XLOOKUP($A42,'data compile'!$A$2:$A$54,'data compile'!G$2:G$54)</f>
        <v>0</v>
      </c>
      <c r="H42">
        <f>_xlfn.XLOOKUP($A42,'data compile'!$A$2:$A$54,'data compile'!H$2:H$54)</f>
        <v>103</v>
      </c>
      <c r="I42" t="str">
        <f>_xlfn.XLOOKUP($A42,'data compile'!$A$2:$A$54,'data compile'!I$2:I$54)</f>
        <v>60.19%</v>
      </c>
      <c r="J42">
        <f>_xlfn.XLOOKUP($A42,'data compile'!$A$2:$A$54,'data compile'!J$2:J$54)</f>
        <v>41</v>
      </c>
      <c r="K42">
        <f>_xlfn.XLOOKUP($A42,'data compile'!$A$2:$A$54,'data compile'!K$2:K$54)</f>
        <v>103</v>
      </c>
      <c r="L42">
        <f>_xlfn.XLOOKUP($A42,'data compile'!$A$2:$A$54,'data compile'!L$2:L$54)</f>
        <v>0</v>
      </c>
      <c r="M42">
        <f>_xlfn.XLOOKUP($A42,'data compile'!$A$2:$A$54,'data compile'!M$2:M$54)</f>
        <v>5</v>
      </c>
      <c r="N42" t="str">
        <f>_xlfn.XLOOKUP($A42,'data compile'!$A$2:$A$54,'data compile'!N$2:N$54)</f>
        <v>0.0%</v>
      </c>
      <c r="O42" t="str">
        <f>_xlfn.XLOOKUP($A42,'data compile'!$A$2:$A$54,'data compile'!O$2:O$54)</f>
        <v>4.85%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B5668-7003-4E43-B42A-4BAF1F6893FD}">
  <dimension ref="A1:B21"/>
  <sheetViews>
    <sheetView workbookViewId="0">
      <selection activeCell="E16" sqref="E16"/>
    </sheetView>
  </sheetViews>
  <sheetFormatPr defaultRowHeight="14.4" x14ac:dyDescent="0.3"/>
  <cols>
    <col min="1" max="1" width="23.88671875" bestFit="1" customWidth="1"/>
    <col min="2" max="2" width="32.33203125" bestFit="1" customWidth="1"/>
  </cols>
  <sheetData>
    <row r="1" spans="1:2" x14ac:dyDescent="0.3">
      <c r="A1" s="17" t="s">
        <v>161</v>
      </c>
      <c r="B1" s="18"/>
    </row>
    <row r="2" spans="1:2" x14ac:dyDescent="0.3">
      <c r="A2" s="3" t="s">
        <v>143</v>
      </c>
      <c r="B2" s="4" t="s">
        <v>144</v>
      </c>
    </row>
    <row r="3" spans="1:2" x14ac:dyDescent="0.3">
      <c r="A3" s="5" t="s">
        <v>145</v>
      </c>
      <c r="B3" s="6" t="s">
        <v>146</v>
      </c>
    </row>
    <row r="4" spans="1:2" x14ac:dyDescent="0.3">
      <c r="A4" s="7" t="s">
        <v>147</v>
      </c>
      <c r="B4" s="8" t="s">
        <v>148</v>
      </c>
    </row>
    <row r="5" spans="1:2" x14ac:dyDescent="0.3">
      <c r="A5" s="7" t="s">
        <v>149</v>
      </c>
      <c r="B5" s="8" t="s">
        <v>150</v>
      </c>
    </row>
    <row r="6" spans="1:2" x14ac:dyDescent="0.3">
      <c r="A6" s="7" t="s">
        <v>151</v>
      </c>
      <c r="B6" s="8" t="s">
        <v>152</v>
      </c>
    </row>
    <row r="7" spans="1:2" x14ac:dyDescent="0.3">
      <c r="A7" s="9" t="s">
        <v>153</v>
      </c>
      <c r="B7" s="10" t="s">
        <v>154</v>
      </c>
    </row>
    <row r="8" spans="1:2" x14ac:dyDescent="0.3">
      <c r="A8" s="5" t="s">
        <v>155</v>
      </c>
      <c r="B8" s="6" t="s">
        <v>156</v>
      </c>
    </row>
    <row r="9" spans="1:2" x14ac:dyDescent="0.3">
      <c r="A9" s="15" t="s">
        <v>157</v>
      </c>
      <c r="B9" s="16" t="s">
        <v>158</v>
      </c>
    </row>
    <row r="12" spans="1:2" x14ac:dyDescent="0.3">
      <c r="A12" t="s">
        <v>142</v>
      </c>
    </row>
    <row r="13" spans="1:2" x14ac:dyDescent="0.3">
      <c r="A13" s="3" t="s">
        <v>143</v>
      </c>
      <c r="B13" s="4" t="s">
        <v>144</v>
      </c>
    </row>
    <row r="14" spans="1:2" x14ac:dyDescent="0.3">
      <c r="A14" s="5" t="s">
        <v>145</v>
      </c>
      <c r="B14" s="6" t="s">
        <v>146</v>
      </c>
    </row>
    <row r="15" spans="1:2" x14ac:dyDescent="0.3">
      <c r="A15" s="7" t="s">
        <v>147</v>
      </c>
      <c r="B15" s="8" t="s">
        <v>148</v>
      </c>
    </row>
    <row r="16" spans="1:2" x14ac:dyDescent="0.3">
      <c r="A16" s="7" t="s">
        <v>149</v>
      </c>
      <c r="B16" s="8" t="s">
        <v>150</v>
      </c>
    </row>
    <row r="17" spans="1:2" x14ac:dyDescent="0.3">
      <c r="A17" s="7" t="s">
        <v>151</v>
      </c>
      <c r="B17" s="8" t="s">
        <v>152</v>
      </c>
    </row>
    <row r="18" spans="1:2" x14ac:dyDescent="0.3">
      <c r="A18" s="9" t="s">
        <v>153</v>
      </c>
      <c r="B18" s="10" t="s">
        <v>154</v>
      </c>
    </row>
    <row r="19" spans="1:2" x14ac:dyDescent="0.3">
      <c r="A19" s="5" t="s">
        <v>155</v>
      </c>
      <c r="B19" s="6" t="s">
        <v>156</v>
      </c>
    </row>
    <row r="20" spans="1:2" x14ac:dyDescent="0.3">
      <c r="A20" s="11" t="s">
        <v>157</v>
      </c>
      <c r="B20" s="12" t="s">
        <v>158</v>
      </c>
    </row>
    <row r="21" spans="1:2" x14ac:dyDescent="0.3">
      <c r="A21" s="13" t="s">
        <v>159</v>
      </c>
      <c r="B21" s="14" t="s">
        <v>160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account to check (July)</vt:lpstr>
      <vt:lpstr>account to check (Aug)</vt:lpstr>
      <vt:lpstr>data compile</vt:lpstr>
      <vt:lpstr>crosscheck</vt:lpstr>
      <vt:lpstr>16 Acct given</vt:lpstr>
      <vt:lpstr>final acct</vt:lpstr>
      <vt:lpstr>strat suggestion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Wei Kc</cp:lastModifiedBy>
  <dcterms:created xsi:type="dcterms:W3CDTF">2026-09-22T03:50:00Z</dcterms:created>
  <dcterms:modified xsi:type="dcterms:W3CDTF">2026-09-22T08:33:39Z</dcterms:modified>
</cp:coreProperties>
</file>