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0E428730-5972-4EE0-BDA1-6E594FF49AD7}" xr6:coauthVersionLast="47" xr6:coauthVersionMax="47" xr10:uidLastSave="{00000000-0000-0000-0000-000000000000}"/>
  <bookViews>
    <workbookView xWindow="-108" yWindow="-108" windowWidth="23256" windowHeight="12456" tabRatio="826" firstSheet="1" activeTab="1" xr2:uid="{2FEC0780-5ED5-45AE-9712-E8F411AADB37}"/>
  </bookViews>
  <sheets>
    <sheet name="query" sheetId="10" r:id="rId1"/>
    <sheet name="July 2026 " sheetId="1" r:id="rId2"/>
    <sheet name="&gt;50% order(July)" sheetId="3" r:id="rId3"/>
    <sheet name="Aug 2026" sheetId="2" r:id="rId4"/>
    <sheet name="&gt;50% order(Aug)" sheetId="4" r:id="rId5"/>
    <sheet name="Sheet1" sheetId="9" r:id="rId6"/>
    <sheet name="16 Accounts given" sheetId="5" r:id="rId7"/>
    <sheet name="account to check (July)" sheetId="6" r:id="rId8"/>
    <sheet name="account to check(Aug)" sheetId="7" r:id="rId9"/>
    <sheet name="unique id" sheetId="8" r:id="rId10"/>
    <sheet name="Sheet3" sheetId="11" r:id="rId11"/>
  </sheets>
  <definedNames>
    <definedName name="_xlnm._FilterDatabase" localSheetId="4" hidden="1">'&gt;50% order(Aug)'!$A$1:$J$27</definedName>
    <definedName name="_xlnm._FilterDatabase" localSheetId="2" hidden="1">'&gt;50% order(July)'!$A$1:$J$29</definedName>
    <definedName name="_xlnm._FilterDatabase" localSheetId="3" hidden="1">'Aug 2026'!$A$1:$I$455</definedName>
    <definedName name="_xlnm._FilterDatabase" localSheetId="1" hidden="1">'July 2026 '!$A$1:$I$375</definedName>
    <definedName name="_xlnm._FilterDatabase" localSheetId="9" hidden="1">'unique id'!$A$1:$F$43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2" i="8"/>
  <c r="L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2" i="8"/>
  <c r="H2" i="8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2" i="3"/>
</calcChain>
</file>

<file path=xl/sharedStrings.xml><?xml version="1.0" encoding="utf-8"?>
<sst xmlns="http://schemas.openxmlformats.org/spreadsheetml/2006/main" count="159" uniqueCount="70">
  <si>
    <t>user_id</t>
  </si>
  <si>
    <t>First Order</t>
  </si>
  <si>
    <t>0s - &lt;30s</t>
  </si>
  <si>
    <t>30s - &lt;1m</t>
  </si>
  <si>
    <t>1m - &lt;5m</t>
  </si>
  <si>
    <t>5m - &lt;30m</t>
  </si>
  <si>
    <t>&gt;= 30m</t>
  </si>
  <si>
    <t>Total</t>
  </si>
  <si>
    <t>0s - &lt;30s (&gt;50%)</t>
  </si>
  <si>
    <t>Percentage%</t>
  </si>
  <si>
    <t>Percentage %</t>
  </si>
  <si>
    <t>UID</t>
  </si>
  <si>
    <t>cross_check</t>
  </si>
  <si>
    <t>register_time</t>
  </si>
  <si>
    <t>ban_status</t>
  </si>
  <si>
    <t>2025-05-05 15:07:54.0</t>
  </si>
  <si>
    <t>NOT BAN</t>
  </si>
  <si>
    <t>2026-06-30 19:29:18.0</t>
  </si>
  <si>
    <t>2026-07-01 07:17:48.0</t>
  </si>
  <si>
    <t>2026-07-01 21:33:50.0</t>
  </si>
  <si>
    <t>BANNED</t>
  </si>
  <si>
    <t>2026-07-02 16:16:02.0</t>
  </si>
  <si>
    <t>2026-07-02 16:17:46.0</t>
  </si>
  <si>
    <t>2026-07-03 18:42:45.0</t>
  </si>
  <si>
    <t>2026-07-03 18:44:44.0</t>
  </si>
  <si>
    <t>2026-07-03 18:46:28.0</t>
  </si>
  <si>
    <t>2026-07-03 18:51:27.0</t>
  </si>
  <si>
    <t>2026-07-03 18:53:21.0</t>
  </si>
  <si>
    <t>2026-07-03 21:18:02.0</t>
  </si>
  <si>
    <t>2026-07-03 21:20:16.0</t>
  </si>
  <si>
    <t>2026-07-12 22:32:54.0</t>
  </si>
  <si>
    <t>2026-07-13 21:05:53.0</t>
  </si>
  <si>
    <t>2026-07-20 21:35:30.0</t>
  </si>
  <si>
    <t>2026-07-23 08:26:44.0</t>
  </si>
  <si>
    <t>2026-07-24 07:27:12.0</t>
  </si>
  <si>
    <t>2026-07-24 22:52:54.0</t>
  </si>
  <si>
    <t>2026-07-27 07:36:10.0</t>
  </si>
  <si>
    <t>2026-07-28 08:15:00.0</t>
  </si>
  <si>
    <t>2026-07-29 07:40:25.0</t>
  </si>
  <si>
    <t>2026-07-30 07:06:14.0</t>
  </si>
  <si>
    <t>2020-04-30 15:05:10.0</t>
  </si>
  <si>
    <t>2026-08-01 07:41:27.0</t>
  </si>
  <si>
    <t>2026-08-03 07:39:58.0</t>
  </si>
  <si>
    <t>2026-08-04 07:58:45.0</t>
  </si>
  <si>
    <t>2026-08-05 07:46:43.0</t>
  </si>
  <si>
    <t>2026-08-06 08:08:48.0</t>
  </si>
  <si>
    <t>2026-08-07 07:56:59.0</t>
  </si>
  <si>
    <t>2026-08-08 08:01:26.0</t>
  </si>
  <si>
    <t>2026-08-12 07:57:04.0</t>
  </si>
  <si>
    <t>2026-08-13 07:53:58.0</t>
  </si>
  <si>
    <t>2026-08-14 08:04:09.0</t>
  </si>
  <si>
    <t>2026-08-14 20:26:21.0</t>
  </si>
  <si>
    <t>2026-08-17 07:51:55.0</t>
  </si>
  <si>
    <t>2026-08-24 07:57:18.0</t>
  </si>
  <si>
    <t>2026-08-25 07:49:19.0</t>
  </si>
  <si>
    <t>2026-08-26 07:55:09.0</t>
  </si>
  <si>
    <t>2026-08-27 08:06:46.0</t>
  </si>
  <si>
    <t>2026-08-28 08:03:16.0</t>
  </si>
  <si>
    <t>2026-08-29 07:56:18.0</t>
  </si>
  <si>
    <t>month</t>
  </si>
  <si>
    <t>year</t>
  </si>
  <si>
    <t>Evaluation dimension</t>
  </si>
  <si>
    <t>Flagged</t>
  </si>
  <si>
    <t>Direct accounts</t>
  </si>
  <si>
    <t>Already banned</t>
  </si>
  <si>
    <t>Not ban</t>
  </si>
  <si>
    <t>Linked accounts</t>
  </si>
  <si>
    <t>crosscheck</t>
  </si>
  <si>
    <t>SET hive.mapred.mode = 'nonstrict';
WITH base_orders AS (
  SELECT DISTINCT
    CAST(order_display_id AS STRING) AS order_display_id,
    name AS user_name,
    user_id,
    driver_id,
    remark AS order_remark,
    vehicle_type AS vehicle_type,
    order_status_name AS order_status,
    create_time_local AS order_creation_local_time,
    order_datetime_local AS order_scheduled_local_time,
    match_time_local,
    arrival_time_local,
    cancel_time_local AS order_cancellation_local_time,
    complete_time_local AS order_completion_local_time,
    start_longitude,
    start_latitude,
    end_longitude,
    end_latitude,
    CAST(amount_fen AS DOUBLE) / 100 AS delivery_fee,
    CAST(driver_amount_fen AS DOUBLE) / 100 AS driver_receivable,
    (CAST(amount_fen AS DOUBLE) / 100 - CAST(driver_amount_fen AS DOUBLE) / 100) AS order_commission,
    CASE
      WHEN pay_type = 0 THEN 'Cash'
      ELSE 'Non-Cash'
    END AS order_payment_type,
    start_address,
    end_address,
    path_point_num AS destination_number
  FROM
    llm_dwb.dwb_order_base
  WHERE
    stat_date = date_sub(current_date, 1)
    AND data_center_id = 2
    AND country_code = 'VN'
    AND TO_DATE(create_time_local) BETWEEN '2026-07-01' AND '2026-07-31'
),
order_time_diffs AS (
  SELECT
    *,
    /* Explicitly fetch previous order time per user ordered ascending */
    LAG(order_creation_local_time) OVER (
      PARTITION BY user_id 
      ORDER BY order_creation_local_time ASC
    ) AS prev_order_creation_time,
    /* Calculate order (t+1) - order (t) in seconds */
    UNIX_TIMESTAMP(order_creation_local_time) - UNIX_TIMESTAMP(
      LAG(order_creation_local_time) OVER (
        PARTITION BY user_id 
        ORDER BY order_creation_local_time ASC
      )
    ) AS time_diff_seconds
  FROM
    base_orders
),
frequency_tiered_orders AS (
  SELECT
    *,
    CASE
      WHEN prev_order_creation_time IS NULL THEN 'First Order'
      WHEN time_diff_seconds &gt;= 0 AND time_diff_seconds &lt; 30 THEN '0s - &lt;30s'
      WHEN time_diff_seconds &gt;= 30 AND time_diff_seconds &lt; 60 THEN '30s - &lt;1m'
      WHEN time_diff_seconds &gt;= 60 AND time_diff_seconds &lt; 300 THEN '1m - &lt;5m'
      WHEN time_diff_seconds &gt;= 300 AND time_diff_seconds &lt; 1800 THEN '5m - &lt;30m'
      WHEN time_diff_seconds &gt;= 1800 THEN '&gt;= 30m'
      ELSE 'Unknown'
    END AS frequency_tier
  FROM
    order_time_diffs
),
flagged_users AS (
  SELECT
    user_id
  FROM
    frequency_tiered_orders
  WHERE
    frequency_tier = '0s - &lt;30s'
  GROUP BY
    user_id
  HAVING
    COUNT(order_display_id) &gt; 5
)
SELECT
  fto.*
FROM
  frequency_tiered_orders fto
JOIN
  flagged_users fu ON fto.user_id = fu.user_id
ORDER BY
  fto.user_id ASC,
  fto.order_creation_local_time ASC;</t>
  </si>
  <si>
    <t>32318884,42372845,42381392,42406507,42426592,42426641,42458992,42459041,42459099,42459241,42459298,42463024,42463063,42705635,42731028,42913719,42971568,42997602,43022614,43081554,43110506,43138108,43166702,8200826,43230061,43290314,43319297,43346700,43374604,43402439,43430885,43539274,43566043,43593087,43614456,43674483,43862968,43891958,43920615,43949404,43978801,44010401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</si>
</sst>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10" fontId="0" fillId="0" borderId="0" xfId="1" applyNumberFormat="1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10" fontId="0" fillId="0" borderId="1" xfId="1" applyNumberFormat="1" applyFont="1" applyBorder="1"/>
    <xf numFmtId="9" fontId="0" fillId="0" borderId="0" xfId="1" applyFo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0" xfId="0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B0B0-BFB7-481D-80B6-03945472B18D}">
  <dimension ref="A1"/>
  <sheetViews>
    <sheetView workbookViewId="0">
      <selection activeCell="A2" sqref="A2"/>
    </sheetView>
  </sheetViews>
  <sheetFormatPr defaultRowHeight="14.4" x14ac:dyDescent="0.3"/>
  <cols>
    <col min="1" max="1" width="100.21875" customWidth="1"/>
  </cols>
  <sheetData>
    <row r="1" spans="1:1" ht="409.6" x14ac:dyDescent="0.3">
      <c r="A1" s="1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83EB-D2AA-4A07-AAE9-D76D76655169}">
  <dimension ref="A1:I375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9" max="9" width="14.21875" bestFit="1" customWidth="1"/>
    <col min="12" max="12" width="25.109375" bestFit="1" customWidth="1"/>
    <col min="13" max="13" width="31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">
      <c r="A2">
        <v>6347039</v>
      </c>
      <c r="B2">
        <v>1</v>
      </c>
      <c r="C2">
        <v>6</v>
      </c>
      <c r="D2">
        <v>3</v>
      </c>
      <c r="E2">
        <v>11</v>
      </c>
      <c r="F2">
        <v>9</v>
      </c>
      <c r="G2">
        <v>30</v>
      </c>
      <c r="H2">
        <v>60</v>
      </c>
      <c r="I2" s="2">
        <v>0.1</v>
      </c>
    </row>
    <row r="3" spans="1:9" x14ac:dyDescent="0.3">
      <c r="A3">
        <v>7891051</v>
      </c>
      <c r="B3">
        <v>1</v>
      </c>
      <c r="C3">
        <v>9</v>
      </c>
      <c r="D3">
        <v>1</v>
      </c>
      <c r="E3">
        <v>4</v>
      </c>
      <c r="F3">
        <v>4</v>
      </c>
      <c r="G3">
        <v>21</v>
      </c>
      <c r="H3">
        <v>40</v>
      </c>
      <c r="I3" s="2">
        <v>0.22500000000000001</v>
      </c>
    </row>
    <row r="4" spans="1:9" x14ac:dyDescent="0.3">
      <c r="A4">
        <v>7891361</v>
      </c>
      <c r="B4">
        <v>1</v>
      </c>
      <c r="C4">
        <v>18</v>
      </c>
      <c r="D4">
        <v>10</v>
      </c>
      <c r="E4">
        <v>25</v>
      </c>
      <c r="F4">
        <v>34</v>
      </c>
      <c r="G4">
        <v>75</v>
      </c>
      <c r="H4">
        <v>163</v>
      </c>
      <c r="I4" s="2">
        <v>0.11042944785276074</v>
      </c>
    </row>
    <row r="5" spans="1:9" x14ac:dyDescent="0.3">
      <c r="A5">
        <v>7892480</v>
      </c>
      <c r="B5">
        <v>1</v>
      </c>
      <c r="C5">
        <v>8</v>
      </c>
      <c r="D5">
        <v>10</v>
      </c>
      <c r="E5">
        <v>25</v>
      </c>
      <c r="F5">
        <v>37</v>
      </c>
      <c r="G5">
        <v>51</v>
      </c>
      <c r="H5">
        <v>132</v>
      </c>
      <c r="I5" s="2">
        <v>6.0606060606060608E-2</v>
      </c>
    </row>
    <row r="6" spans="1:9" x14ac:dyDescent="0.3">
      <c r="A6">
        <v>7910811</v>
      </c>
      <c r="B6">
        <v>1</v>
      </c>
      <c r="C6">
        <v>9</v>
      </c>
      <c r="D6">
        <v>20</v>
      </c>
      <c r="E6">
        <v>83</v>
      </c>
      <c r="F6">
        <v>220</v>
      </c>
      <c r="G6">
        <v>145</v>
      </c>
      <c r="H6">
        <v>478</v>
      </c>
      <c r="I6" s="2">
        <v>1.8828451882845189E-2</v>
      </c>
    </row>
    <row r="7" spans="1:9" x14ac:dyDescent="0.3">
      <c r="A7">
        <v>7928763</v>
      </c>
      <c r="B7">
        <v>1</v>
      </c>
      <c r="C7">
        <v>11</v>
      </c>
      <c r="D7">
        <v>5</v>
      </c>
      <c r="E7">
        <v>23</v>
      </c>
      <c r="F7">
        <v>35</v>
      </c>
      <c r="G7">
        <v>125</v>
      </c>
      <c r="H7">
        <v>200</v>
      </c>
      <c r="I7" s="2">
        <v>5.5E-2</v>
      </c>
    </row>
    <row r="8" spans="1:9" x14ac:dyDescent="0.3">
      <c r="A8">
        <v>7973914</v>
      </c>
      <c r="B8">
        <v>1</v>
      </c>
      <c r="C8">
        <v>10</v>
      </c>
      <c r="D8">
        <v>13</v>
      </c>
      <c r="E8">
        <v>30</v>
      </c>
      <c r="F8">
        <v>20</v>
      </c>
      <c r="G8">
        <v>21</v>
      </c>
      <c r="H8">
        <v>95</v>
      </c>
      <c r="I8" s="2">
        <v>0.10526315789473684</v>
      </c>
    </row>
    <row r="9" spans="1:9" x14ac:dyDescent="0.3">
      <c r="A9">
        <v>8000768</v>
      </c>
      <c r="B9">
        <v>1</v>
      </c>
      <c r="C9">
        <v>16</v>
      </c>
      <c r="D9">
        <v>3</v>
      </c>
      <c r="E9">
        <v>24</v>
      </c>
      <c r="F9">
        <v>60</v>
      </c>
      <c r="G9">
        <v>129</v>
      </c>
      <c r="H9">
        <v>233</v>
      </c>
      <c r="I9" s="2">
        <v>6.8669527896995708E-2</v>
      </c>
    </row>
    <row r="10" spans="1:9" x14ac:dyDescent="0.3">
      <c r="A10">
        <v>8024534</v>
      </c>
      <c r="B10">
        <v>1</v>
      </c>
      <c r="C10">
        <v>9</v>
      </c>
      <c r="D10">
        <v>1</v>
      </c>
      <c r="E10">
        <v>2</v>
      </c>
      <c r="F10">
        <v>0</v>
      </c>
      <c r="G10">
        <v>46</v>
      </c>
      <c r="H10">
        <v>59</v>
      </c>
      <c r="I10" s="2">
        <v>0.15254237288135594</v>
      </c>
    </row>
    <row r="11" spans="1:9" x14ac:dyDescent="0.3">
      <c r="A11">
        <v>8055025</v>
      </c>
      <c r="B11">
        <v>1</v>
      </c>
      <c r="C11">
        <v>6</v>
      </c>
      <c r="D11">
        <v>0</v>
      </c>
      <c r="E11">
        <v>6</v>
      </c>
      <c r="F11">
        <v>9</v>
      </c>
      <c r="G11">
        <v>60</v>
      </c>
      <c r="H11">
        <v>82</v>
      </c>
      <c r="I11" s="2">
        <v>7.3170731707317069E-2</v>
      </c>
    </row>
    <row r="12" spans="1:9" x14ac:dyDescent="0.3">
      <c r="A12">
        <v>8063461</v>
      </c>
      <c r="B12">
        <v>1</v>
      </c>
      <c r="C12">
        <v>7</v>
      </c>
      <c r="D12">
        <v>1</v>
      </c>
      <c r="E12">
        <v>6</v>
      </c>
      <c r="F12">
        <v>25</v>
      </c>
      <c r="G12">
        <v>44</v>
      </c>
      <c r="H12">
        <v>84</v>
      </c>
      <c r="I12" s="2">
        <v>8.3333333333333329E-2</v>
      </c>
    </row>
    <row r="13" spans="1:9" x14ac:dyDescent="0.3">
      <c r="A13">
        <v>8104791</v>
      </c>
      <c r="B13">
        <v>1</v>
      </c>
      <c r="C13">
        <v>10</v>
      </c>
      <c r="D13">
        <v>7</v>
      </c>
      <c r="E13">
        <v>5</v>
      </c>
      <c r="F13">
        <v>16</v>
      </c>
      <c r="G13">
        <v>34</v>
      </c>
      <c r="H13">
        <v>73</v>
      </c>
      <c r="I13" s="2">
        <v>0.13698630136986301</v>
      </c>
    </row>
    <row r="14" spans="1:9" x14ac:dyDescent="0.3">
      <c r="A14">
        <v>8121350</v>
      </c>
      <c r="B14">
        <v>1</v>
      </c>
      <c r="C14">
        <v>11</v>
      </c>
      <c r="D14">
        <v>5</v>
      </c>
      <c r="E14">
        <v>13</v>
      </c>
      <c r="F14">
        <v>22</v>
      </c>
      <c r="G14">
        <v>42</v>
      </c>
      <c r="H14">
        <v>94</v>
      </c>
      <c r="I14" s="2">
        <v>0.11702127659574468</v>
      </c>
    </row>
    <row r="15" spans="1:9" x14ac:dyDescent="0.3">
      <c r="A15">
        <v>8122967</v>
      </c>
      <c r="B15">
        <v>1</v>
      </c>
      <c r="C15">
        <v>6</v>
      </c>
      <c r="D15">
        <v>3</v>
      </c>
      <c r="E15">
        <v>5</v>
      </c>
      <c r="F15">
        <v>10</v>
      </c>
      <c r="G15">
        <v>45</v>
      </c>
      <c r="H15">
        <v>70</v>
      </c>
      <c r="I15" s="2">
        <v>8.5714285714285715E-2</v>
      </c>
    </row>
    <row r="16" spans="1:9" x14ac:dyDescent="0.3">
      <c r="A16">
        <v>8134889</v>
      </c>
      <c r="B16">
        <v>1</v>
      </c>
      <c r="C16">
        <v>11</v>
      </c>
      <c r="D16">
        <v>19</v>
      </c>
      <c r="E16">
        <v>43</v>
      </c>
      <c r="F16">
        <v>76</v>
      </c>
      <c r="G16">
        <v>102</v>
      </c>
      <c r="H16">
        <v>252</v>
      </c>
      <c r="I16" s="2">
        <v>4.3650793650793648E-2</v>
      </c>
    </row>
    <row r="17" spans="1:9" x14ac:dyDescent="0.3">
      <c r="A17">
        <v>8167915</v>
      </c>
      <c r="B17">
        <v>1</v>
      </c>
      <c r="C17">
        <v>12</v>
      </c>
      <c r="D17">
        <v>1</v>
      </c>
      <c r="E17">
        <v>12</v>
      </c>
      <c r="F17">
        <v>27</v>
      </c>
      <c r="G17">
        <v>68</v>
      </c>
      <c r="H17">
        <v>121</v>
      </c>
      <c r="I17" s="2">
        <v>9.9173553719008267E-2</v>
      </c>
    </row>
    <row r="18" spans="1:9" x14ac:dyDescent="0.3">
      <c r="A18">
        <v>8175554</v>
      </c>
      <c r="B18">
        <v>1</v>
      </c>
      <c r="C18">
        <v>10</v>
      </c>
      <c r="D18">
        <v>3</v>
      </c>
      <c r="E18">
        <v>5</v>
      </c>
      <c r="F18">
        <v>18</v>
      </c>
      <c r="G18">
        <v>75</v>
      </c>
      <c r="H18">
        <v>112</v>
      </c>
      <c r="I18" s="2">
        <v>8.9285714285714288E-2</v>
      </c>
    </row>
    <row r="19" spans="1:9" x14ac:dyDescent="0.3">
      <c r="A19">
        <v>8178829</v>
      </c>
      <c r="B19">
        <v>1</v>
      </c>
      <c r="C19">
        <v>7</v>
      </c>
      <c r="D19">
        <v>7</v>
      </c>
      <c r="E19">
        <v>9</v>
      </c>
      <c r="F19">
        <v>35</v>
      </c>
      <c r="G19">
        <v>91</v>
      </c>
      <c r="H19">
        <v>150</v>
      </c>
      <c r="I19" s="2">
        <v>4.6666666666666669E-2</v>
      </c>
    </row>
    <row r="20" spans="1:9" x14ac:dyDescent="0.3">
      <c r="A20">
        <v>8179309</v>
      </c>
      <c r="B20">
        <v>1</v>
      </c>
      <c r="C20">
        <v>6</v>
      </c>
      <c r="D20">
        <v>3</v>
      </c>
      <c r="E20">
        <v>11</v>
      </c>
      <c r="F20">
        <v>12</v>
      </c>
      <c r="G20">
        <v>63</v>
      </c>
      <c r="H20">
        <v>96</v>
      </c>
      <c r="I20" s="2">
        <v>6.25E-2</v>
      </c>
    </row>
    <row r="21" spans="1:9" x14ac:dyDescent="0.3">
      <c r="A21">
        <v>8179889</v>
      </c>
      <c r="B21">
        <v>1</v>
      </c>
      <c r="C21">
        <v>77</v>
      </c>
      <c r="D21">
        <v>45</v>
      </c>
      <c r="E21">
        <v>197</v>
      </c>
      <c r="F21">
        <v>178</v>
      </c>
      <c r="G21">
        <v>115</v>
      </c>
      <c r="H21">
        <v>613</v>
      </c>
      <c r="I21" s="2">
        <v>0.12561174551386622</v>
      </c>
    </row>
    <row r="22" spans="1:9" x14ac:dyDescent="0.3">
      <c r="A22">
        <v>8198452</v>
      </c>
      <c r="B22">
        <v>1</v>
      </c>
      <c r="C22">
        <v>6</v>
      </c>
      <c r="D22">
        <v>12</v>
      </c>
      <c r="E22">
        <v>17</v>
      </c>
      <c r="F22">
        <v>57</v>
      </c>
      <c r="G22">
        <v>51</v>
      </c>
      <c r="H22">
        <v>144</v>
      </c>
      <c r="I22" s="2">
        <v>4.1666666666666664E-2</v>
      </c>
    </row>
    <row r="23" spans="1:9" x14ac:dyDescent="0.3">
      <c r="A23">
        <v>8200826</v>
      </c>
      <c r="B23">
        <v>1</v>
      </c>
      <c r="C23">
        <v>108</v>
      </c>
      <c r="D23">
        <v>14</v>
      </c>
      <c r="E23">
        <v>40</v>
      </c>
      <c r="F23">
        <v>41</v>
      </c>
      <c r="G23">
        <v>49</v>
      </c>
      <c r="H23">
        <v>253</v>
      </c>
      <c r="I23" s="2">
        <v>0.4268774703557312</v>
      </c>
    </row>
    <row r="24" spans="1:9" x14ac:dyDescent="0.3">
      <c r="A24">
        <v>8201497</v>
      </c>
      <c r="B24">
        <v>1</v>
      </c>
      <c r="C24">
        <v>8</v>
      </c>
      <c r="D24">
        <v>4</v>
      </c>
      <c r="E24">
        <v>18</v>
      </c>
      <c r="F24">
        <v>12</v>
      </c>
      <c r="G24">
        <v>44</v>
      </c>
      <c r="H24">
        <v>87</v>
      </c>
      <c r="I24" s="2">
        <v>9.1954022988505746E-2</v>
      </c>
    </row>
    <row r="25" spans="1:9" x14ac:dyDescent="0.3">
      <c r="A25">
        <v>8206493</v>
      </c>
      <c r="B25">
        <v>1</v>
      </c>
      <c r="C25">
        <v>7</v>
      </c>
      <c r="D25">
        <v>4</v>
      </c>
      <c r="E25">
        <v>3</v>
      </c>
      <c r="F25">
        <v>4</v>
      </c>
      <c r="G25">
        <v>41</v>
      </c>
      <c r="H25">
        <v>60</v>
      </c>
      <c r="I25" s="2">
        <v>0.11666666666666667</v>
      </c>
    </row>
    <row r="26" spans="1:9" x14ac:dyDescent="0.3">
      <c r="A26">
        <v>8215221</v>
      </c>
      <c r="B26">
        <v>1</v>
      </c>
      <c r="C26">
        <v>6</v>
      </c>
      <c r="D26">
        <v>0</v>
      </c>
      <c r="E26">
        <v>3</v>
      </c>
      <c r="F26">
        <v>7</v>
      </c>
      <c r="G26">
        <v>42</v>
      </c>
      <c r="H26">
        <v>59</v>
      </c>
      <c r="I26" s="2">
        <v>0.10169491525423729</v>
      </c>
    </row>
    <row r="27" spans="1:9" x14ac:dyDescent="0.3">
      <c r="A27">
        <v>8226547</v>
      </c>
      <c r="B27">
        <v>1</v>
      </c>
      <c r="C27">
        <v>11</v>
      </c>
      <c r="D27">
        <v>49</v>
      </c>
      <c r="E27">
        <v>106</v>
      </c>
      <c r="F27">
        <v>233</v>
      </c>
      <c r="G27">
        <v>209</v>
      </c>
      <c r="H27">
        <v>609</v>
      </c>
      <c r="I27" s="2">
        <v>1.8062397372742199E-2</v>
      </c>
    </row>
    <row r="28" spans="1:9" x14ac:dyDescent="0.3">
      <c r="A28">
        <v>8236487</v>
      </c>
      <c r="B28">
        <v>1</v>
      </c>
      <c r="C28">
        <v>10</v>
      </c>
      <c r="D28">
        <v>5</v>
      </c>
      <c r="E28">
        <v>12</v>
      </c>
      <c r="F28">
        <v>64</v>
      </c>
      <c r="G28">
        <v>111</v>
      </c>
      <c r="H28">
        <v>203</v>
      </c>
      <c r="I28" s="2">
        <v>4.9261083743842367E-2</v>
      </c>
    </row>
    <row r="29" spans="1:9" x14ac:dyDescent="0.3">
      <c r="A29">
        <v>8237768</v>
      </c>
      <c r="B29">
        <v>1</v>
      </c>
      <c r="C29">
        <v>11</v>
      </c>
      <c r="D29">
        <v>38</v>
      </c>
      <c r="E29">
        <v>57</v>
      </c>
      <c r="F29">
        <v>89</v>
      </c>
      <c r="G29">
        <v>87</v>
      </c>
      <c r="H29">
        <v>283</v>
      </c>
      <c r="I29" s="2">
        <v>3.8869257950530034E-2</v>
      </c>
    </row>
    <row r="30" spans="1:9" x14ac:dyDescent="0.3">
      <c r="A30">
        <v>8240793</v>
      </c>
      <c r="B30">
        <v>1</v>
      </c>
      <c r="C30">
        <v>6</v>
      </c>
      <c r="D30">
        <v>1</v>
      </c>
      <c r="E30">
        <v>34</v>
      </c>
      <c r="F30">
        <v>78</v>
      </c>
      <c r="G30">
        <v>124</v>
      </c>
      <c r="H30">
        <v>244</v>
      </c>
      <c r="I30" s="2">
        <v>2.4590163934426229E-2</v>
      </c>
    </row>
    <row r="31" spans="1:9" x14ac:dyDescent="0.3">
      <c r="A31">
        <v>8247079</v>
      </c>
      <c r="B31">
        <v>1</v>
      </c>
      <c r="C31">
        <v>11</v>
      </c>
      <c r="D31">
        <v>11</v>
      </c>
      <c r="E31">
        <v>15</v>
      </c>
      <c r="F31">
        <v>57</v>
      </c>
      <c r="G31">
        <v>128</v>
      </c>
      <c r="H31">
        <v>223</v>
      </c>
      <c r="I31" s="2">
        <v>4.9327354260089683E-2</v>
      </c>
    </row>
    <row r="32" spans="1:9" x14ac:dyDescent="0.3">
      <c r="A32">
        <v>8255310</v>
      </c>
      <c r="B32">
        <v>1</v>
      </c>
      <c r="C32">
        <v>17</v>
      </c>
      <c r="D32">
        <v>1</v>
      </c>
      <c r="E32">
        <v>12</v>
      </c>
      <c r="F32">
        <v>30</v>
      </c>
      <c r="G32">
        <v>81</v>
      </c>
      <c r="H32">
        <v>142</v>
      </c>
      <c r="I32" s="2">
        <v>0.11971830985915492</v>
      </c>
    </row>
    <row r="33" spans="1:9" x14ac:dyDescent="0.3">
      <c r="A33">
        <v>8285725</v>
      </c>
      <c r="B33">
        <v>1</v>
      </c>
      <c r="C33">
        <v>6</v>
      </c>
      <c r="D33">
        <v>1</v>
      </c>
      <c r="E33">
        <v>5</v>
      </c>
      <c r="F33">
        <v>6</v>
      </c>
      <c r="G33">
        <v>45</v>
      </c>
      <c r="H33">
        <v>64</v>
      </c>
      <c r="I33" s="2">
        <v>9.375E-2</v>
      </c>
    </row>
    <row r="34" spans="1:9" x14ac:dyDescent="0.3">
      <c r="A34">
        <v>8303582</v>
      </c>
      <c r="B34">
        <v>1</v>
      </c>
      <c r="C34">
        <v>6</v>
      </c>
      <c r="D34">
        <v>3</v>
      </c>
      <c r="E34">
        <v>8</v>
      </c>
      <c r="F34">
        <v>23</v>
      </c>
      <c r="G34">
        <v>62</v>
      </c>
      <c r="H34">
        <v>103</v>
      </c>
      <c r="I34" s="2">
        <v>5.8252427184466021E-2</v>
      </c>
    </row>
    <row r="35" spans="1:9" x14ac:dyDescent="0.3">
      <c r="A35">
        <v>8310342</v>
      </c>
      <c r="B35">
        <v>1</v>
      </c>
      <c r="C35">
        <v>13</v>
      </c>
      <c r="D35">
        <v>12</v>
      </c>
      <c r="E35">
        <v>32</v>
      </c>
      <c r="F35">
        <v>29</v>
      </c>
      <c r="G35">
        <v>96</v>
      </c>
      <c r="H35">
        <v>183</v>
      </c>
      <c r="I35" s="2">
        <v>7.1038251366120214E-2</v>
      </c>
    </row>
    <row r="36" spans="1:9" x14ac:dyDescent="0.3">
      <c r="A36">
        <v>8320237</v>
      </c>
      <c r="B36">
        <v>1</v>
      </c>
      <c r="C36">
        <v>9</v>
      </c>
      <c r="D36">
        <v>10</v>
      </c>
      <c r="E36">
        <v>12</v>
      </c>
      <c r="F36">
        <v>26</v>
      </c>
      <c r="G36">
        <v>99</v>
      </c>
      <c r="H36">
        <v>157</v>
      </c>
      <c r="I36" s="2">
        <v>5.7324840764331211E-2</v>
      </c>
    </row>
    <row r="37" spans="1:9" x14ac:dyDescent="0.3">
      <c r="A37">
        <v>8321849</v>
      </c>
      <c r="B37">
        <v>1</v>
      </c>
      <c r="C37">
        <v>14</v>
      </c>
      <c r="D37">
        <v>10</v>
      </c>
      <c r="E37">
        <v>23</v>
      </c>
      <c r="F37">
        <v>21</v>
      </c>
      <c r="G37">
        <v>33</v>
      </c>
      <c r="H37">
        <v>102</v>
      </c>
      <c r="I37" s="2">
        <v>0.13725490196078433</v>
      </c>
    </row>
    <row r="38" spans="1:9" x14ac:dyDescent="0.3">
      <c r="A38">
        <v>8359828</v>
      </c>
      <c r="B38">
        <v>1</v>
      </c>
      <c r="C38">
        <v>24</v>
      </c>
      <c r="D38">
        <v>10</v>
      </c>
      <c r="E38">
        <v>34</v>
      </c>
      <c r="F38">
        <v>95</v>
      </c>
      <c r="G38">
        <v>83</v>
      </c>
      <c r="H38">
        <v>247</v>
      </c>
      <c r="I38" s="2">
        <v>9.7165991902834009E-2</v>
      </c>
    </row>
    <row r="39" spans="1:9" x14ac:dyDescent="0.3">
      <c r="A39">
        <v>8370086</v>
      </c>
      <c r="B39">
        <v>1</v>
      </c>
      <c r="C39">
        <v>9</v>
      </c>
      <c r="D39">
        <v>2</v>
      </c>
      <c r="E39">
        <v>2</v>
      </c>
      <c r="F39">
        <v>3</v>
      </c>
      <c r="G39">
        <v>31</v>
      </c>
      <c r="H39">
        <v>48</v>
      </c>
      <c r="I39" s="2">
        <v>0.1875</v>
      </c>
    </row>
    <row r="40" spans="1:9" x14ac:dyDescent="0.3">
      <c r="A40">
        <v>8378411</v>
      </c>
      <c r="B40">
        <v>1</v>
      </c>
      <c r="C40">
        <v>27</v>
      </c>
      <c r="D40">
        <v>33</v>
      </c>
      <c r="E40">
        <v>87</v>
      </c>
      <c r="F40">
        <v>180</v>
      </c>
      <c r="G40">
        <v>229</v>
      </c>
      <c r="H40">
        <v>557</v>
      </c>
      <c r="I40" s="2">
        <v>4.8473967684021541E-2</v>
      </c>
    </row>
    <row r="41" spans="1:9" x14ac:dyDescent="0.3">
      <c r="A41">
        <v>8424810</v>
      </c>
      <c r="B41">
        <v>1</v>
      </c>
      <c r="C41">
        <v>13</v>
      </c>
      <c r="D41">
        <v>5</v>
      </c>
      <c r="E41">
        <v>22</v>
      </c>
      <c r="F41">
        <v>45</v>
      </c>
      <c r="G41">
        <v>97</v>
      </c>
      <c r="H41">
        <v>183</v>
      </c>
      <c r="I41" s="2">
        <v>7.1038251366120214E-2</v>
      </c>
    </row>
    <row r="42" spans="1:9" x14ac:dyDescent="0.3">
      <c r="A42">
        <v>8424878</v>
      </c>
      <c r="B42">
        <v>1</v>
      </c>
      <c r="C42">
        <v>30</v>
      </c>
      <c r="D42">
        <v>32</v>
      </c>
      <c r="E42">
        <v>19</v>
      </c>
      <c r="F42">
        <v>10</v>
      </c>
      <c r="G42">
        <v>39</v>
      </c>
      <c r="H42">
        <v>131</v>
      </c>
      <c r="I42" s="2">
        <v>0.22900763358778625</v>
      </c>
    </row>
    <row r="43" spans="1:9" x14ac:dyDescent="0.3">
      <c r="A43">
        <v>8427815</v>
      </c>
      <c r="B43">
        <v>1</v>
      </c>
      <c r="C43">
        <v>7</v>
      </c>
      <c r="D43">
        <v>10</v>
      </c>
      <c r="E43">
        <v>36</v>
      </c>
      <c r="F43">
        <v>66</v>
      </c>
      <c r="G43">
        <v>108</v>
      </c>
      <c r="H43">
        <v>228</v>
      </c>
      <c r="I43" s="2">
        <v>3.0701754385964911E-2</v>
      </c>
    </row>
    <row r="44" spans="1:9" x14ac:dyDescent="0.3">
      <c r="A44">
        <v>8428572</v>
      </c>
      <c r="B44">
        <v>1</v>
      </c>
      <c r="C44">
        <v>39</v>
      </c>
      <c r="D44">
        <v>115</v>
      </c>
      <c r="E44">
        <v>253</v>
      </c>
      <c r="F44">
        <v>405</v>
      </c>
      <c r="G44">
        <v>235</v>
      </c>
      <c r="H44">
        <v>1048</v>
      </c>
      <c r="I44" s="2">
        <v>3.7213740458015267E-2</v>
      </c>
    </row>
    <row r="45" spans="1:9" x14ac:dyDescent="0.3">
      <c r="A45">
        <v>8428664</v>
      </c>
      <c r="B45">
        <v>1</v>
      </c>
      <c r="C45">
        <v>9</v>
      </c>
      <c r="D45">
        <v>16</v>
      </c>
      <c r="E45">
        <v>52</v>
      </c>
      <c r="F45">
        <v>171</v>
      </c>
      <c r="G45">
        <v>166</v>
      </c>
      <c r="H45">
        <v>415</v>
      </c>
      <c r="I45" s="2">
        <v>2.1686746987951807E-2</v>
      </c>
    </row>
    <row r="46" spans="1:9" x14ac:dyDescent="0.3">
      <c r="A46">
        <v>8430809</v>
      </c>
      <c r="B46">
        <v>1</v>
      </c>
      <c r="C46">
        <v>6</v>
      </c>
      <c r="D46">
        <v>16</v>
      </c>
      <c r="E46">
        <v>53</v>
      </c>
      <c r="F46">
        <v>83</v>
      </c>
      <c r="G46">
        <v>85</v>
      </c>
      <c r="H46">
        <v>244</v>
      </c>
      <c r="I46" s="2">
        <v>2.4590163934426229E-2</v>
      </c>
    </row>
    <row r="47" spans="1:9" x14ac:dyDescent="0.3">
      <c r="A47">
        <v>8432596</v>
      </c>
      <c r="B47">
        <v>1</v>
      </c>
      <c r="C47">
        <v>9</v>
      </c>
      <c r="D47">
        <v>6</v>
      </c>
      <c r="E47">
        <v>35</v>
      </c>
      <c r="F47">
        <v>73</v>
      </c>
      <c r="G47">
        <v>136</v>
      </c>
      <c r="H47">
        <v>260</v>
      </c>
      <c r="I47" s="2">
        <v>3.4615384615384617E-2</v>
      </c>
    </row>
    <row r="48" spans="1:9" x14ac:dyDescent="0.3">
      <c r="A48">
        <v>8446918</v>
      </c>
      <c r="B48">
        <v>1</v>
      </c>
      <c r="C48">
        <v>7</v>
      </c>
      <c r="D48">
        <v>48</v>
      </c>
      <c r="E48">
        <v>28</v>
      </c>
      <c r="F48">
        <v>6</v>
      </c>
      <c r="G48">
        <v>7</v>
      </c>
      <c r="H48">
        <v>97</v>
      </c>
      <c r="I48" s="2">
        <v>7.2164948453608241E-2</v>
      </c>
    </row>
    <row r="49" spans="1:9" x14ac:dyDescent="0.3">
      <c r="A49">
        <v>8449519</v>
      </c>
      <c r="B49">
        <v>1</v>
      </c>
      <c r="C49">
        <v>19</v>
      </c>
      <c r="D49">
        <v>23</v>
      </c>
      <c r="E49">
        <v>61</v>
      </c>
      <c r="F49">
        <v>163</v>
      </c>
      <c r="G49">
        <v>210</v>
      </c>
      <c r="H49">
        <v>477</v>
      </c>
      <c r="I49" s="2">
        <v>3.9832285115303984E-2</v>
      </c>
    </row>
    <row r="50" spans="1:9" x14ac:dyDescent="0.3">
      <c r="A50">
        <v>8583510</v>
      </c>
      <c r="B50">
        <v>1</v>
      </c>
      <c r="C50">
        <v>6</v>
      </c>
      <c r="D50">
        <v>8</v>
      </c>
      <c r="E50">
        <v>20</v>
      </c>
      <c r="F50">
        <v>37</v>
      </c>
      <c r="G50">
        <v>64</v>
      </c>
      <c r="H50">
        <v>136</v>
      </c>
      <c r="I50" s="2">
        <v>4.4117647058823532E-2</v>
      </c>
    </row>
    <row r="51" spans="1:9" x14ac:dyDescent="0.3">
      <c r="A51">
        <v>8630653</v>
      </c>
      <c r="B51">
        <v>1</v>
      </c>
      <c r="C51">
        <v>6</v>
      </c>
      <c r="D51">
        <v>3</v>
      </c>
      <c r="E51">
        <v>1</v>
      </c>
      <c r="F51">
        <v>11</v>
      </c>
      <c r="G51">
        <v>33</v>
      </c>
      <c r="H51">
        <v>55</v>
      </c>
      <c r="I51" s="2">
        <v>0.10909090909090909</v>
      </c>
    </row>
    <row r="52" spans="1:9" x14ac:dyDescent="0.3">
      <c r="A52">
        <v>10349132</v>
      </c>
      <c r="B52">
        <v>1</v>
      </c>
      <c r="C52">
        <v>6</v>
      </c>
      <c r="D52">
        <v>3</v>
      </c>
      <c r="E52">
        <v>3</v>
      </c>
      <c r="F52">
        <v>8</v>
      </c>
      <c r="G52">
        <v>30</v>
      </c>
      <c r="H52">
        <v>51</v>
      </c>
      <c r="I52" s="2">
        <v>0.11764705882352941</v>
      </c>
    </row>
    <row r="53" spans="1:9" x14ac:dyDescent="0.3">
      <c r="A53">
        <v>10364903</v>
      </c>
      <c r="B53">
        <v>1</v>
      </c>
      <c r="C53">
        <v>8</v>
      </c>
      <c r="D53">
        <v>8</v>
      </c>
      <c r="E53">
        <v>14</v>
      </c>
      <c r="F53">
        <v>13</v>
      </c>
      <c r="G53">
        <v>51</v>
      </c>
      <c r="H53">
        <v>95</v>
      </c>
      <c r="I53" s="2">
        <v>8.4210526315789472E-2</v>
      </c>
    </row>
    <row r="54" spans="1:9" x14ac:dyDescent="0.3">
      <c r="A54">
        <v>10636328</v>
      </c>
      <c r="B54">
        <v>1</v>
      </c>
      <c r="C54">
        <v>6</v>
      </c>
      <c r="D54">
        <v>10</v>
      </c>
      <c r="E54">
        <v>25</v>
      </c>
      <c r="F54">
        <v>87</v>
      </c>
      <c r="G54">
        <v>128</v>
      </c>
      <c r="H54">
        <v>257</v>
      </c>
      <c r="I54" s="2">
        <v>2.3346303501945526E-2</v>
      </c>
    </row>
    <row r="55" spans="1:9" x14ac:dyDescent="0.3">
      <c r="A55">
        <v>10662611</v>
      </c>
      <c r="B55">
        <v>1</v>
      </c>
      <c r="C55">
        <v>7</v>
      </c>
      <c r="D55">
        <v>11</v>
      </c>
      <c r="E55">
        <v>21</v>
      </c>
      <c r="F55">
        <v>49</v>
      </c>
      <c r="G55">
        <v>116</v>
      </c>
      <c r="H55">
        <v>205</v>
      </c>
      <c r="I55" s="2">
        <v>3.4146341463414637E-2</v>
      </c>
    </row>
    <row r="56" spans="1:9" x14ac:dyDescent="0.3">
      <c r="A56">
        <v>10694274</v>
      </c>
      <c r="B56">
        <v>1</v>
      </c>
      <c r="C56">
        <v>7</v>
      </c>
      <c r="D56">
        <v>7</v>
      </c>
      <c r="E56">
        <v>18</v>
      </c>
      <c r="F56">
        <v>96</v>
      </c>
      <c r="G56">
        <v>144</v>
      </c>
      <c r="H56">
        <v>273</v>
      </c>
      <c r="I56" s="2">
        <v>2.564102564102564E-2</v>
      </c>
    </row>
    <row r="57" spans="1:9" x14ac:dyDescent="0.3">
      <c r="A57">
        <v>10708646</v>
      </c>
      <c r="B57">
        <v>1</v>
      </c>
      <c r="C57">
        <v>7</v>
      </c>
      <c r="D57">
        <v>2</v>
      </c>
      <c r="E57">
        <v>5</v>
      </c>
      <c r="F57">
        <v>22</v>
      </c>
      <c r="G57">
        <v>17</v>
      </c>
      <c r="H57">
        <v>54</v>
      </c>
      <c r="I57" s="2">
        <v>0.12962962962962962</v>
      </c>
    </row>
    <row r="58" spans="1:9" x14ac:dyDescent="0.3">
      <c r="A58">
        <v>10843360</v>
      </c>
      <c r="B58">
        <v>1</v>
      </c>
      <c r="C58">
        <v>36</v>
      </c>
      <c r="D58">
        <v>7</v>
      </c>
      <c r="E58">
        <v>25</v>
      </c>
      <c r="F58">
        <v>59</v>
      </c>
      <c r="G58">
        <v>129</v>
      </c>
      <c r="H58">
        <v>257</v>
      </c>
      <c r="I58" s="2">
        <v>0.14007782101167315</v>
      </c>
    </row>
    <row r="59" spans="1:9" x14ac:dyDescent="0.3">
      <c r="A59">
        <v>11025452</v>
      </c>
      <c r="B59">
        <v>1</v>
      </c>
      <c r="C59">
        <v>7</v>
      </c>
      <c r="D59">
        <v>6</v>
      </c>
      <c r="E59">
        <v>20</v>
      </c>
      <c r="F59">
        <v>33</v>
      </c>
      <c r="G59">
        <v>51</v>
      </c>
      <c r="H59">
        <v>118</v>
      </c>
      <c r="I59" s="2">
        <v>5.9322033898305086E-2</v>
      </c>
    </row>
    <row r="60" spans="1:9" x14ac:dyDescent="0.3">
      <c r="A60">
        <v>11111299</v>
      </c>
      <c r="B60">
        <v>1</v>
      </c>
      <c r="C60">
        <v>9</v>
      </c>
      <c r="D60">
        <v>15</v>
      </c>
      <c r="E60">
        <v>6</v>
      </c>
      <c r="F60">
        <v>5</v>
      </c>
      <c r="G60">
        <v>39</v>
      </c>
      <c r="H60">
        <v>75</v>
      </c>
      <c r="I60" s="2">
        <v>0.12</v>
      </c>
    </row>
    <row r="61" spans="1:9" x14ac:dyDescent="0.3">
      <c r="A61">
        <v>11167825</v>
      </c>
      <c r="B61">
        <v>1</v>
      </c>
      <c r="C61">
        <v>13</v>
      </c>
      <c r="D61">
        <v>20</v>
      </c>
      <c r="E61">
        <v>40</v>
      </c>
      <c r="F61">
        <v>100</v>
      </c>
      <c r="G61">
        <v>147</v>
      </c>
      <c r="H61">
        <v>321</v>
      </c>
      <c r="I61" s="2">
        <v>4.0498442367601244E-2</v>
      </c>
    </row>
    <row r="62" spans="1:9" x14ac:dyDescent="0.3">
      <c r="A62">
        <v>11230700</v>
      </c>
      <c r="B62">
        <v>1</v>
      </c>
      <c r="C62">
        <v>7</v>
      </c>
      <c r="D62">
        <v>8</v>
      </c>
      <c r="E62">
        <v>2</v>
      </c>
      <c r="F62">
        <v>1</v>
      </c>
      <c r="G62">
        <v>37</v>
      </c>
      <c r="H62">
        <v>56</v>
      </c>
      <c r="I62" s="2">
        <v>0.125</v>
      </c>
    </row>
    <row r="63" spans="1:9" x14ac:dyDescent="0.3">
      <c r="A63">
        <v>11373145</v>
      </c>
      <c r="B63">
        <v>1</v>
      </c>
      <c r="C63">
        <v>8</v>
      </c>
      <c r="D63">
        <v>6</v>
      </c>
      <c r="E63">
        <v>15</v>
      </c>
      <c r="F63">
        <v>30</v>
      </c>
      <c r="G63">
        <v>66</v>
      </c>
      <c r="H63">
        <v>126</v>
      </c>
      <c r="I63" s="2">
        <v>6.3492063492063489E-2</v>
      </c>
    </row>
    <row r="64" spans="1:9" x14ac:dyDescent="0.3">
      <c r="A64">
        <v>11387259</v>
      </c>
      <c r="B64">
        <v>1</v>
      </c>
      <c r="C64">
        <v>6</v>
      </c>
      <c r="D64">
        <v>0</v>
      </c>
      <c r="E64">
        <v>6</v>
      </c>
      <c r="F64">
        <v>20</v>
      </c>
      <c r="G64">
        <v>65</v>
      </c>
      <c r="H64">
        <v>98</v>
      </c>
      <c r="I64" s="2">
        <v>6.1224489795918366E-2</v>
      </c>
    </row>
    <row r="65" spans="1:9" x14ac:dyDescent="0.3">
      <c r="A65">
        <v>11431095</v>
      </c>
      <c r="B65">
        <v>1</v>
      </c>
      <c r="C65">
        <v>12</v>
      </c>
      <c r="D65">
        <v>10</v>
      </c>
      <c r="E65">
        <v>59</v>
      </c>
      <c r="F65">
        <v>113</v>
      </c>
      <c r="G65">
        <v>132</v>
      </c>
      <c r="H65">
        <v>327</v>
      </c>
      <c r="I65" s="2">
        <v>3.669724770642202E-2</v>
      </c>
    </row>
    <row r="66" spans="1:9" x14ac:dyDescent="0.3">
      <c r="A66">
        <v>11499051</v>
      </c>
      <c r="B66">
        <v>1</v>
      </c>
      <c r="C66">
        <v>14</v>
      </c>
      <c r="D66">
        <v>5</v>
      </c>
      <c r="E66">
        <v>19</v>
      </c>
      <c r="F66">
        <v>20</v>
      </c>
      <c r="G66">
        <v>110</v>
      </c>
      <c r="H66">
        <v>169</v>
      </c>
      <c r="I66" s="2">
        <v>8.2840236686390539E-2</v>
      </c>
    </row>
    <row r="67" spans="1:9" x14ac:dyDescent="0.3">
      <c r="A67">
        <v>11513748</v>
      </c>
      <c r="B67">
        <v>1</v>
      </c>
      <c r="C67">
        <v>21</v>
      </c>
      <c r="D67">
        <v>12</v>
      </c>
      <c r="E67">
        <v>40</v>
      </c>
      <c r="F67">
        <v>85</v>
      </c>
      <c r="G67">
        <v>127</v>
      </c>
      <c r="H67">
        <v>286</v>
      </c>
      <c r="I67" s="2">
        <v>7.3426573426573424E-2</v>
      </c>
    </row>
    <row r="68" spans="1:9" x14ac:dyDescent="0.3">
      <c r="A68">
        <v>11916860</v>
      </c>
      <c r="B68">
        <v>1</v>
      </c>
      <c r="C68">
        <v>17</v>
      </c>
      <c r="D68">
        <v>6</v>
      </c>
      <c r="E68">
        <v>2</v>
      </c>
      <c r="F68">
        <v>12</v>
      </c>
      <c r="G68">
        <v>17</v>
      </c>
      <c r="H68">
        <v>55</v>
      </c>
      <c r="I68" s="2">
        <v>0.30909090909090908</v>
      </c>
    </row>
    <row r="69" spans="1:9" x14ac:dyDescent="0.3">
      <c r="A69">
        <v>12063948</v>
      </c>
      <c r="B69">
        <v>1</v>
      </c>
      <c r="C69">
        <v>9</v>
      </c>
      <c r="D69">
        <v>1</v>
      </c>
      <c r="E69">
        <v>4</v>
      </c>
      <c r="F69">
        <v>33</v>
      </c>
      <c r="G69">
        <v>98</v>
      </c>
      <c r="H69">
        <v>146</v>
      </c>
      <c r="I69" s="2">
        <v>6.1643835616438353E-2</v>
      </c>
    </row>
    <row r="70" spans="1:9" x14ac:dyDescent="0.3">
      <c r="A70">
        <v>12397540</v>
      </c>
      <c r="B70">
        <v>1</v>
      </c>
      <c r="C70">
        <v>21</v>
      </c>
      <c r="D70">
        <v>3</v>
      </c>
      <c r="E70">
        <v>2</v>
      </c>
      <c r="F70">
        <v>5</v>
      </c>
      <c r="G70">
        <v>37</v>
      </c>
      <c r="H70">
        <v>69</v>
      </c>
      <c r="I70" s="2">
        <v>0.30434782608695654</v>
      </c>
    </row>
    <row r="71" spans="1:9" x14ac:dyDescent="0.3">
      <c r="A71">
        <v>12566023</v>
      </c>
      <c r="B71">
        <v>1</v>
      </c>
      <c r="C71">
        <v>51</v>
      </c>
      <c r="D71">
        <v>28</v>
      </c>
      <c r="E71">
        <v>115</v>
      </c>
      <c r="F71">
        <v>189</v>
      </c>
      <c r="G71">
        <v>120</v>
      </c>
      <c r="H71">
        <v>504</v>
      </c>
      <c r="I71" s="2">
        <v>0.10119047619047619</v>
      </c>
    </row>
    <row r="72" spans="1:9" x14ac:dyDescent="0.3">
      <c r="A72">
        <v>12789353</v>
      </c>
      <c r="B72">
        <v>1</v>
      </c>
      <c r="C72">
        <v>6</v>
      </c>
      <c r="D72">
        <v>3</v>
      </c>
      <c r="E72">
        <v>3</v>
      </c>
      <c r="F72">
        <v>7</v>
      </c>
      <c r="G72">
        <v>44</v>
      </c>
      <c r="H72">
        <v>64</v>
      </c>
      <c r="I72" s="2">
        <v>9.375E-2</v>
      </c>
    </row>
    <row r="73" spans="1:9" x14ac:dyDescent="0.3">
      <c r="A73">
        <v>12812503</v>
      </c>
      <c r="B73">
        <v>1</v>
      </c>
      <c r="C73">
        <v>9</v>
      </c>
      <c r="D73">
        <v>0</v>
      </c>
      <c r="E73">
        <v>0</v>
      </c>
      <c r="F73">
        <v>4</v>
      </c>
      <c r="G73">
        <v>24</v>
      </c>
      <c r="H73">
        <v>38</v>
      </c>
      <c r="I73" s="2">
        <v>0.23684210526315788</v>
      </c>
    </row>
    <row r="74" spans="1:9" x14ac:dyDescent="0.3">
      <c r="A74">
        <v>13614455</v>
      </c>
      <c r="B74">
        <v>1</v>
      </c>
      <c r="C74">
        <v>8</v>
      </c>
      <c r="D74">
        <v>2</v>
      </c>
      <c r="E74">
        <v>8</v>
      </c>
      <c r="F74">
        <v>11</v>
      </c>
      <c r="G74">
        <v>43</v>
      </c>
      <c r="H74">
        <v>73</v>
      </c>
      <c r="I74" s="2">
        <v>0.1095890410958904</v>
      </c>
    </row>
    <row r="75" spans="1:9" x14ac:dyDescent="0.3">
      <c r="A75">
        <v>13727890</v>
      </c>
      <c r="B75">
        <v>1</v>
      </c>
      <c r="C75">
        <v>7</v>
      </c>
      <c r="D75">
        <v>6</v>
      </c>
      <c r="E75">
        <v>25</v>
      </c>
      <c r="F75">
        <v>13</v>
      </c>
      <c r="G75">
        <v>45</v>
      </c>
      <c r="H75">
        <v>97</v>
      </c>
      <c r="I75" s="2">
        <v>7.2164948453608241E-2</v>
      </c>
    </row>
    <row r="76" spans="1:9" x14ac:dyDescent="0.3">
      <c r="A76">
        <v>13936325</v>
      </c>
      <c r="B76">
        <v>1</v>
      </c>
      <c r="C76">
        <v>21</v>
      </c>
      <c r="D76">
        <v>16</v>
      </c>
      <c r="E76">
        <v>50</v>
      </c>
      <c r="F76">
        <v>64</v>
      </c>
      <c r="G76">
        <v>73</v>
      </c>
      <c r="H76">
        <v>225</v>
      </c>
      <c r="I76" s="2">
        <v>9.3333333333333338E-2</v>
      </c>
    </row>
    <row r="77" spans="1:9" x14ac:dyDescent="0.3">
      <c r="A77">
        <v>14095684</v>
      </c>
      <c r="B77">
        <v>1</v>
      </c>
      <c r="C77">
        <v>6</v>
      </c>
      <c r="D77">
        <v>1</v>
      </c>
      <c r="E77">
        <v>7</v>
      </c>
      <c r="F77">
        <v>22</v>
      </c>
      <c r="G77">
        <v>73</v>
      </c>
      <c r="H77">
        <v>110</v>
      </c>
      <c r="I77" s="2">
        <v>5.4545454545454543E-2</v>
      </c>
    </row>
    <row r="78" spans="1:9" x14ac:dyDescent="0.3">
      <c r="A78">
        <v>14547391</v>
      </c>
      <c r="B78">
        <v>1</v>
      </c>
      <c r="C78">
        <v>9</v>
      </c>
      <c r="D78">
        <v>7</v>
      </c>
      <c r="E78">
        <v>33</v>
      </c>
      <c r="F78">
        <v>42</v>
      </c>
      <c r="G78">
        <v>50</v>
      </c>
      <c r="H78">
        <v>142</v>
      </c>
      <c r="I78" s="2">
        <v>6.3380281690140844E-2</v>
      </c>
    </row>
    <row r="79" spans="1:9" x14ac:dyDescent="0.3">
      <c r="A79">
        <v>14575442</v>
      </c>
      <c r="B79">
        <v>1</v>
      </c>
      <c r="C79">
        <v>6</v>
      </c>
      <c r="D79">
        <v>2</v>
      </c>
      <c r="E79">
        <v>2</v>
      </c>
      <c r="F79">
        <v>7</v>
      </c>
      <c r="G79">
        <v>40</v>
      </c>
      <c r="H79">
        <v>58</v>
      </c>
      <c r="I79" s="2">
        <v>0.10344827586206896</v>
      </c>
    </row>
    <row r="80" spans="1:9" x14ac:dyDescent="0.3">
      <c r="A80">
        <v>14743148</v>
      </c>
      <c r="B80">
        <v>1</v>
      </c>
      <c r="C80">
        <v>6</v>
      </c>
      <c r="D80">
        <v>7</v>
      </c>
      <c r="E80">
        <v>30</v>
      </c>
      <c r="F80">
        <v>72</v>
      </c>
      <c r="G80">
        <v>108</v>
      </c>
      <c r="H80">
        <v>224</v>
      </c>
      <c r="I80" s="2">
        <v>2.6785714285714284E-2</v>
      </c>
    </row>
    <row r="81" spans="1:9" x14ac:dyDescent="0.3">
      <c r="A81">
        <v>14758607</v>
      </c>
      <c r="B81">
        <v>1</v>
      </c>
      <c r="C81">
        <v>7</v>
      </c>
      <c r="D81">
        <v>32</v>
      </c>
      <c r="E81">
        <v>55</v>
      </c>
      <c r="F81">
        <v>112</v>
      </c>
      <c r="G81">
        <v>146</v>
      </c>
      <c r="H81">
        <v>353</v>
      </c>
      <c r="I81" s="2">
        <v>1.9830028328611898E-2</v>
      </c>
    </row>
    <row r="82" spans="1:9" x14ac:dyDescent="0.3">
      <c r="A82">
        <v>14764773</v>
      </c>
      <c r="B82">
        <v>1</v>
      </c>
      <c r="C82">
        <v>15</v>
      </c>
      <c r="D82">
        <v>1</v>
      </c>
      <c r="E82">
        <v>11</v>
      </c>
      <c r="F82">
        <v>26</v>
      </c>
      <c r="G82">
        <v>50</v>
      </c>
      <c r="H82">
        <v>104</v>
      </c>
      <c r="I82" s="2">
        <v>0.14423076923076922</v>
      </c>
    </row>
    <row r="83" spans="1:9" x14ac:dyDescent="0.3">
      <c r="A83">
        <v>14776944</v>
      </c>
      <c r="B83">
        <v>1</v>
      </c>
      <c r="C83">
        <v>12</v>
      </c>
      <c r="D83">
        <v>11</v>
      </c>
      <c r="E83">
        <v>21</v>
      </c>
      <c r="F83">
        <v>29</v>
      </c>
      <c r="G83">
        <v>51</v>
      </c>
      <c r="H83">
        <v>125</v>
      </c>
      <c r="I83" s="2">
        <v>9.6000000000000002E-2</v>
      </c>
    </row>
    <row r="84" spans="1:9" x14ac:dyDescent="0.3">
      <c r="A84">
        <v>14838811</v>
      </c>
      <c r="B84">
        <v>1</v>
      </c>
      <c r="C84">
        <v>7</v>
      </c>
      <c r="D84">
        <v>20</v>
      </c>
      <c r="E84">
        <v>94</v>
      </c>
      <c r="F84">
        <v>179</v>
      </c>
      <c r="G84">
        <v>139</v>
      </c>
      <c r="H84">
        <v>440</v>
      </c>
      <c r="I84" s="2">
        <v>1.5909090909090907E-2</v>
      </c>
    </row>
    <row r="85" spans="1:9" x14ac:dyDescent="0.3">
      <c r="A85">
        <v>14917421</v>
      </c>
      <c r="B85">
        <v>1</v>
      </c>
      <c r="C85">
        <v>16</v>
      </c>
      <c r="D85">
        <v>25</v>
      </c>
      <c r="E85">
        <v>61</v>
      </c>
      <c r="F85">
        <v>101</v>
      </c>
      <c r="G85">
        <v>155</v>
      </c>
      <c r="H85">
        <v>359</v>
      </c>
      <c r="I85" s="2">
        <v>4.456824512534819E-2</v>
      </c>
    </row>
    <row r="86" spans="1:9" x14ac:dyDescent="0.3">
      <c r="A86">
        <v>15184786</v>
      </c>
      <c r="B86">
        <v>1</v>
      </c>
      <c r="C86">
        <v>22</v>
      </c>
      <c r="D86">
        <v>57</v>
      </c>
      <c r="E86">
        <v>177</v>
      </c>
      <c r="F86">
        <v>278</v>
      </c>
      <c r="G86">
        <v>134</v>
      </c>
      <c r="H86">
        <v>669</v>
      </c>
      <c r="I86" s="2">
        <v>3.2884902840059793E-2</v>
      </c>
    </row>
    <row r="87" spans="1:9" x14ac:dyDescent="0.3">
      <c r="A87">
        <v>15189442</v>
      </c>
      <c r="B87">
        <v>1</v>
      </c>
      <c r="C87">
        <v>6</v>
      </c>
      <c r="D87">
        <v>3</v>
      </c>
      <c r="E87">
        <v>12</v>
      </c>
      <c r="F87">
        <v>6</v>
      </c>
      <c r="G87">
        <v>27</v>
      </c>
      <c r="H87">
        <v>55</v>
      </c>
      <c r="I87" s="2">
        <v>0.10909090909090909</v>
      </c>
    </row>
    <row r="88" spans="1:9" x14ac:dyDescent="0.3">
      <c r="A88">
        <v>15216957</v>
      </c>
      <c r="B88">
        <v>1</v>
      </c>
      <c r="C88">
        <v>12</v>
      </c>
      <c r="D88">
        <v>11</v>
      </c>
      <c r="E88">
        <v>91</v>
      </c>
      <c r="F88">
        <v>105</v>
      </c>
      <c r="G88">
        <v>124</v>
      </c>
      <c r="H88">
        <v>344</v>
      </c>
      <c r="I88" s="2">
        <v>3.4883720930232558E-2</v>
      </c>
    </row>
    <row r="89" spans="1:9" x14ac:dyDescent="0.3">
      <c r="A89">
        <v>15315650</v>
      </c>
      <c r="B89">
        <v>1</v>
      </c>
      <c r="C89">
        <v>14</v>
      </c>
      <c r="D89">
        <v>4</v>
      </c>
      <c r="E89">
        <v>33</v>
      </c>
      <c r="F89">
        <v>79</v>
      </c>
      <c r="G89">
        <v>152</v>
      </c>
      <c r="H89">
        <v>283</v>
      </c>
      <c r="I89" s="2">
        <v>4.9469964664310952E-2</v>
      </c>
    </row>
    <row r="90" spans="1:9" x14ac:dyDescent="0.3">
      <c r="A90">
        <v>15723349</v>
      </c>
      <c r="B90">
        <v>1</v>
      </c>
      <c r="C90">
        <v>20</v>
      </c>
      <c r="D90">
        <v>21</v>
      </c>
      <c r="E90">
        <v>77</v>
      </c>
      <c r="F90">
        <v>155</v>
      </c>
      <c r="G90">
        <v>113</v>
      </c>
      <c r="H90">
        <v>387</v>
      </c>
      <c r="I90" s="2">
        <v>5.1679586563307491E-2</v>
      </c>
    </row>
    <row r="91" spans="1:9" x14ac:dyDescent="0.3">
      <c r="A91">
        <v>15733464</v>
      </c>
      <c r="B91">
        <v>1</v>
      </c>
      <c r="C91">
        <v>6</v>
      </c>
      <c r="D91">
        <v>2</v>
      </c>
      <c r="E91">
        <v>7</v>
      </c>
      <c r="F91">
        <v>37</v>
      </c>
      <c r="G91">
        <v>118</v>
      </c>
      <c r="H91">
        <v>171</v>
      </c>
      <c r="I91" s="2">
        <v>3.5087719298245612E-2</v>
      </c>
    </row>
    <row r="92" spans="1:9" x14ac:dyDescent="0.3">
      <c r="A92">
        <v>15782291</v>
      </c>
      <c r="B92">
        <v>1</v>
      </c>
      <c r="C92">
        <v>6</v>
      </c>
      <c r="D92">
        <v>6</v>
      </c>
      <c r="E92">
        <v>8</v>
      </c>
      <c r="F92">
        <v>11</v>
      </c>
      <c r="G92">
        <v>36</v>
      </c>
      <c r="H92">
        <v>68</v>
      </c>
      <c r="I92" s="2">
        <v>8.8235294117647065E-2</v>
      </c>
    </row>
    <row r="93" spans="1:9" x14ac:dyDescent="0.3">
      <c r="A93">
        <v>16054660</v>
      </c>
      <c r="B93">
        <v>1</v>
      </c>
      <c r="C93">
        <v>10</v>
      </c>
      <c r="D93">
        <v>11</v>
      </c>
      <c r="E93">
        <v>56</v>
      </c>
      <c r="F93">
        <v>105</v>
      </c>
      <c r="G93">
        <v>117</v>
      </c>
      <c r="H93">
        <v>300</v>
      </c>
      <c r="I93" s="2">
        <v>3.3333333333333333E-2</v>
      </c>
    </row>
    <row r="94" spans="1:9" x14ac:dyDescent="0.3">
      <c r="A94">
        <v>16270835</v>
      </c>
      <c r="B94">
        <v>1</v>
      </c>
      <c r="C94">
        <v>95</v>
      </c>
      <c r="D94">
        <v>43</v>
      </c>
      <c r="E94">
        <v>60</v>
      </c>
      <c r="F94">
        <v>12</v>
      </c>
      <c r="G94">
        <v>88</v>
      </c>
      <c r="H94">
        <v>299</v>
      </c>
      <c r="I94" s="2">
        <v>0.31772575250836121</v>
      </c>
    </row>
    <row r="95" spans="1:9" x14ac:dyDescent="0.3">
      <c r="A95">
        <v>16571758</v>
      </c>
      <c r="B95">
        <v>1</v>
      </c>
      <c r="C95">
        <v>8</v>
      </c>
      <c r="D95">
        <v>6</v>
      </c>
      <c r="E95">
        <v>40</v>
      </c>
      <c r="F95">
        <v>25</v>
      </c>
      <c r="G95">
        <v>62</v>
      </c>
      <c r="H95">
        <v>142</v>
      </c>
      <c r="I95" s="2">
        <v>5.6338028169014086E-2</v>
      </c>
    </row>
    <row r="96" spans="1:9" x14ac:dyDescent="0.3">
      <c r="A96">
        <v>16597452</v>
      </c>
      <c r="B96">
        <v>1</v>
      </c>
      <c r="C96">
        <v>7</v>
      </c>
      <c r="D96">
        <v>5</v>
      </c>
      <c r="E96">
        <v>21</v>
      </c>
      <c r="F96">
        <v>49</v>
      </c>
      <c r="G96">
        <v>100</v>
      </c>
      <c r="H96">
        <v>183</v>
      </c>
      <c r="I96" s="2">
        <v>3.825136612021858E-2</v>
      </c>
    </row>
    <row r="97" spans="1:9" x14ac:dyDescent="0.3">
      <c r="A97">
        <v>16612156</v>
      </c>
      <c r="B97">
        <v>1</v>
      </c>
      <c r="C97">
        <v>7</v>
      </c>
      <c r="D97">
        <v>0</v>
      </c>
      <c r="E97">
        <v>3</v>
      </c>
      <c r="F97">
        <v>2</v>
      </c>
      <c r="G97">
        <v>11</v>
      </c>
      <c r="H97">
        <v>24</v>
      </c>
      <c r="I97" s="2">
        <v>0.29166666666666669</v>
      </c>
    </row>
    <row r="98" spans="1:9" x14ac:dyDescent="0.3">
      <c r="A98">
        <v>16680880</v>
      </c>
      <c r="B98">
        <v>1</v>
      </c>
      <c r="C98">
        <v>9</v>
      </c>
      <c r="D98">
        <v>9</v>
      </c>
      <c r="E98">
        <v>12</v>
      </c>
      <c r="F98">
        <v>26</v>
      </c>
      <c r="G98">
        <v>118</v>
      </c>
      <c r="H98">
        <v>175</v>
      </c>
      <c r="I98" s="2">
        <v>5.1428571428571428E-2</v>
      </c>
    </row>
    <row r="99" spans="1:9" x14ac:dyDescent="0.3">
      <c r="A99">
        <v>16804143</v>
      </c>
      <c r="B99">
        <v>1</v>
      </c>
      <c r="C99">
        <v>6</v>
      </c>
      <c r="D99">
        <v>9</v>
      </c>
      <c r="E99">
        <v>9</v>
      </c>
      <c r="F99">
        <v>21</v>
      </c>
      <c r="G99">
        <v>66</v>
      </c>
      <c r="H99">
        <v>112</v>
      </c>
      <c r="I99" s="2">
        <v>5.3571428571428568E-2</v>
      </c>
    </row>
    <row r="100" spans="1:9" x14ac:dyDescent="0.3">
      <c r="A100">
        <v>16812748</v>
      </c>
      <c r="B100">
        <v>1</v>
      </c>
      <c r="C100">
        <v>7</v>
      </c>
      <c r="D100">
        <v>2</v>
      </c>
      <c r="E100">
        <v>4</v>
      </c>
      <c r="F100">
        <v>31</v>
      </c>
      <c r="G100">
        <v>16</v>
      </c>
      <c r="H100">
        <v>61</v>
      </c>
      <c r="I100" s="2">
        <v>0.11475409836065574</v>
      </c>
    </row>
    <row r="101" spans="1:9" x14ac:dyDescent="0.3">
      <c r="A101">
        <v>16945168</v>
      </c>
      <c r="B101">
        <v>1</v>
      </c>
      <c r="C101">
        <v>15</v>
      </c>
      <c r="D101">
        <v>35</v>
      </c>
      <c r="E101">
        <v>163</v>
      </c>
      <c r="F101">
        <v>63</v>
      </c>
      <c r="G101">
        <v>72</v>
      </c>
      <c r="H101">
        <v>349</v>
      </c>
      <c r="I101" s="2">
        <v>4.2979942693409739E-2</v>
      </c>
    </row>
    <row r="102" spans="1:9" x14ac:dyDescent="0.3">
      <c r="A102">
        <v>17058913</v>
      </c>
      <c r="B102">
        <v>1</v>
      </c>
      <c r="C102">
        <v>21</v>
      </c>
      <c r="D102">
        <v>9</v>
      </c>
      <c r="E102">
        <v>19</v>
      </c>
      <c r="F102">
        <v>54</v>
      </c>
      <c r="G102">
        <v>91</v>
      </c>
      <c r="H102">
        <v>195</v>
      </c>
      <c r="I102" s="2">
        <v>0.1076923076923077</v>
      </c>
    </row>
    <row r="103" spans="1:9" x14ac:dyDescent="0.3">
      <c r="A103">
        <v>17137874</v>
      </c>
      <c r="B103">
        <v>1</v>
      </c>
      <c r="C103">
        <v>6</v>
      </c>
      <c r="D103">
        <v>5</v>
      </c>
      <c r="E103">
        <v>36</v>
      </c>
      <c r="F103">
        <v>62</v>
      </c>
      <c r="G103">
        <v>172</v>
      </c>
      <c r="H103">
        <v>282</v>
      </c>
      <c r="I103" s="2">
        <v>2.1276595744680851E-2</v>
      </c>
    </row>
    <row r="104" spans="1:9" x14ac:dyDescent="0.3">
      <c r="A104">
        <v>17153448</v>
      </c>
      <c r="B104">
        <v>1</v>
      </c>
      <c r="C104">
        <v>7</v>
      </c>
      <c r="D104">
        <v>4</v>
      </c>
      <c r="E104">
        <v>20</v>
      </c>
      <c r="F104">
        <v>15</v>
      </c>
      <c r="G104">
        <v>50</v>
      </c>
      <c r="H104">
        <v>97</v>
      </c>
      <c r="I104" s="2">
        <v>7.2164948453608241E-2</v>
      </c>
    </row>
    <row r="105" spans="1:9" x14ac:dyDescent="0.3">
      <c r="A105">
        <v>17163876</v>
      </c>
      <c r="B105">
        <v>1</v>
      </c>
      <c r="C105">
        <v>16</v>
      </c>
      <c r="D105">
        <v>12</v>
      </c>
      <c r="E105">
        <v>29</v>
      </c>
      <c r="F105">
        <v>60</v>
      </c>
      <c r="G105">
        <v>127</v>
      </c>
      <c r="H105">
        <v>245</v>
      </c>
      <c r="I105" s="2">
        <v>6.5306122448979598E-2</v>
      </c>
    </row>
    <row r="106" spans="1:9" x14ac:dyDescent="0.3">
      <c r="A106">
        <v>17253686</v>
      </c>
      <c r="B106">
        <v>1</v>
      </c>
      <c r="C106">
        <v>26</v>
      </c>
      <c r="D106">
        <v>9</v>
      </c>
      <c r="E106">
        <v>10</v>
      </c>
      <c r="F106">
        <v>4</v>
      </c>
      <c r="G106">
        <v>54</v>
      </c>
      <c r="H106">
        <v>104</v>
      </c>
      <c r="I106" s="2">
        <v>0.25</v>
      </c>
    </row>
    <row r="107" spans="1:9" x14ac:dyDescent="0.3">
      <c r="A107">
        <v>17391787</v>
      </c>
      <c r="B107">
        <v>1</v>
      </c>
      <c r="C107">
        <v>10</v>
      </c>
      <c r="D107">
        <v>10</v>
      </c>
      <c r="E107">
        <v>15</v>
      </c>
      <c r="F107">
        <v>27</v>
      </c>
      <c r="G107">
        <v>81</v>
      </c>
      <c r="H107">
        <v>144</v>
      </c>
      <c r="I107" s="2">
        <v>6.9444444444444448E-2</v>
      </c>
    </row>
    <row r="108" spans="1:9" x14ac:dyDescent="0.3">
      <c r="A108">
        <v>17602114</v>
      </c>
      <c r="B108">
        <v>1</v>
      </c>
      <c r="C108">
        <v>7</v>
      </c>
      <c r="D108">
        <v>1</v>
      </c>
      <c r="E108">
        <v>9</v>
      </c>
      <c r="F108">
        <v>21</v>
      </c>
      <c r="G108">
        <v>61</v>
      </c>
      <c r="H108">
        <v>100</v>
      </c>
      <c r="I108" s="2">
        <v>7.0000000000000007E-2</v>
      </c>
    </row>
    <row r="109" spans="1:9" x14ac:dyDescent="0.3">
      <c r="A109">
        <v>17660623</v>
      </c>
      <c r="B109">
        <v>1</v>
      </c>
      <c r="C109">
        <v>6</v>
      </c>
      <c r="D109">
        <v>0</v>
      </c>
      <c r="E109">
        <v>4</v>
      </c>
      <c r="F109">
        <v>12</v>
      </c>
      <c r="G109">
        <v>65</v>
      </c>
      <c r="H109">
        <v>88</v>
      </c>
      <c r="I109" s="2">
        <v>6.8181818181818177E-2</v>
      </c>
    </row>
    <row r="110" spans="1:9" x14ac:dyDescent="0.3">
      <c r="A110">
        <v>17746132</v>
      </c>
      <c r="B110">
        <v>1</v>
      </c>
      <c r="C110">
        <v>17</v>
      </c>
      <c r="D110">
        <v>14</v>
      </c>
      <c r="E110">
        <v>33</v>
      </c>
      <c r="F110">
        <v>71</v>
      </c>
      <c r="G110">
        <v>89</v>
      </c>
      <c r="H110">
        <v>225</v>
      </c>
      <c r="I110" s="2">
        <v>7.5555555555555556E-2</v>
      </c>
    </row>
    <row r="111" spans="1:9" x14ac:dyDescent="0.3">
      <c r="A111">
        <v>17855280</v>
      </c>
      <c r="B111">
        <v>1</v>
      </c>
      <c r="C111">
        <v>11</v>
      </c>
      <c r="D111">
        <v>1</v>
      </c>
      <c r="E111">
        <v>4</v>
      </c>
      <c r="F111">
        <v>7</v>
      </c>
      <c r="G111">
        <v>33</v>
      </c>
      <c r="H111">
        <v>57</v>
      </c>
      <c r="I111" s="2">
        <v>0.19298245614035087</v>
      </c>
    </row>
    <row r="112" spans="1:9" x14ac:dyDescent="0.3">
      <c r="A112">
        <v>17921487</v>
      </c>
      <c r="B112">
        <v>1</v>
      </c>
      <c r="C112">
        <v>8</v>
      </c>
      <c r="D112">
        <v>6</v>
      </c>
      <c r="E112">
        <v>5</v>
      </c>
      <c r="F112">
        <v>8</v>
      </c>
      <c r="G112">
        <v>43</v>
      </c>
      <c r="H112">
        <v>71</v>
      </c>
      <c r="I112" s="2">
        <v>0.11267605633802817</v>
      </c>
    </row>
    <row r="113" spans="1:9" x14ac:dyDescent="0.3">
      <c r="A113">
        <v>18161363</v>
      </c>
      <c r="B113">
        <v>1</v>
      </c>
      <c r="C113">
        <v>8</v>
      </c>
      <c r="D113">
        <v>1</v>
      </c>
      <c r="E113">
        <v>5</v>
      </c>
      <c r="F113">
        <v>18</v>
      </c>
      <c r="G113">
        <v>60</v>
      </c>
      <c r="H113">
        <v>93</v>
      </c>
      <c r="I113" s="2">
        <v>8.6021505376344093E-2</v>
      </c>
    </row>
    <row r="114" spans="1:9" x14ac:dyDescent="0.3">
      <c r="A114">
        <v>18330224</v>
      </c>
      <c r="B114">
        <v>1</v>
      </c>
      <c r="C114">
        <v>9</v>
      </c>
      <c r="D114">
        <v>4</v>
      </c>
      <c r="E114">
        <v>23</v>
      </c>
      <c r="F114">
        <v>75</v>
      </c>
      <c r="G114">
        <v>115</v>
      </c>
      <c r="H114">
        <v>227</v>
      </c>
      <c r="I114" s="2">
        <v>3.9647577092511016E-2</v>
      </c>
    </row>
    <row r="115" spans="1:9" x14ac:dyDescent="0.3">
      <c r="A115">
        <v>18458478</v>
      </c>
      <c r="B115">
        <v>1</v>
      </c>
      <c r="C115">
        <v>11</v>
      </c>
      <c r="D115">
        <v>0</v>
      </c>
      <c r="E115">
        <v>0</v>
      </c>
      <c r="F115">
        <v>5</v>
      </c>
      <c r="G115">
        <v>40</v>
      </c>
      <c r="H115">
        <v>57</v>
      </c>
      <c r="I115" s="2">
        <v>0.19298245614035087</v>
      </c>
    </row>
    <row r="116" spans="1:9" x14ac:dyDescent="0.3">
      <c r="A116">
        <v>18482475</v>
      </c>
      <c r="B116">
        <v>1</v>
      </c>
      <c r="C116">
        <v>6</v>
      </c>
      <c r="D116">
        <v>4</v>
      </c>
      <c r="E116">
        <v>11</v>
      </c>
      <c r="F116">
        <v>44</v>
      </c>
      <c r="G116">
        <v>78</v>
      </c>
      <c r="H116">
        <v>144</v>
      </c>
      <c r="I116" s="2">
        <v>4.1666666666666664E-2</v>
      </c>
    </row>
    <row r="117" spans="1:9" x14ac:dyDescent="0.3">
      <c r="A117">
        <v>18568516</v>
      </c>
      <c r="B117">
        <v>1</v>
      </c>
      <c r="C117">
        <v>6</v>
      </c>
      <c r="D117">
        <v>3</v>
      </c>
      <c r="E117">
        <v>6</v>
      </c>
      <c r="F117">
        <v>8</v>
      </c>
      <c r="G117">
        <v>33</v>
      </c>
      <c r="H117">
        <v>57</v>
      </c>
      <c r="I117" s="2">
        <v>0.10526315789473684</v>
      </c>
    </row>
    <row r="118" spans="1:9" x14ac:dyDescent="0.3">
      <c r="A118">
        <v>18570911</v>
      </c>
      <c r="B118">
        <v>1</v>
      </c>
      <c r="C118">
        <v>9</v>
      </c>
      <c r="D118">
        <v>4</v>
      </c>
      <c r="E118">
        <v>14</v>
      </c>
      <c r="F118">
        <v>15</v>
      </c>
      <c r="G118">
        <v>36</v>
      </c>
      <c r="H118">
        <v>79</v>
      </c>
      <c r="I118" s="2">
        <v>0.11392405063291139</v>
      </c>
    </row>
    <row r="119" spans="1:9" x14ac:dyDescent="0.3">
      <c r="A119">
        <v>18603411</v>
      </c>
      <c r="B119">
        <v>1</v>
      </c>
      <c r="C119">
        <v>8</v>
      </c>
      <c r="D119">
        <v>13</v>
      </c>
      <c r="E119">
        <v>26</v>
      </c>
      <c r="F119">
        <v>60</v>
      </c>
      <c r="G119">
        <v>130</v>
      </c>
      <c r="H119">
        <v>238</v>
      </c>
      <c r="I119" s="2">
        <v>3.3613445378151259E-2</v>
      </c>
    </row>
    <row r="120" spans="1:9" x14ac:dyDescent="0.3">
      <c r="A120">
        <v>18828872</v>
      </c>
      <c r="B120">
        <v>1</v>
      </c>
      <c r="C120">
        <v>14</v>
      </c>
      <c r="D120">
        <v>2</v>
      </c>
      <c r="E120">
        <v>4</v>
      </c>
      <c r="F120">
        <v>9</v>
      </c>
      <c r="G120">
        <v>37</v>
      </c>
      <c r="H120">
        <v>67</v>
      </c>
      <c r="I120" s="2">
        <v>0.20895522388059701</v>
      </c>
    </row>
    <row r="121" spans="1:9" x14ac:dyDescent="0.3">
      <c r="A121">
        <v>18878496</v>
      </c>
      <c r="B121">
        <v>1</v>
      </c>
      <c r="C121">
        <v>6</v>
      </c>
      <c r="D121">
        <v>8</v>
      </c>
      <c r="E121">
        <v>73</v>
      </c>
      <c r="F121">
        <v>28</v>
      </c>
      <c r="G121">
        <v>57</v>
      </c>
      <c r="H121">
        <v>173</v>
      </c>
      <c r="I121" s="2">
        <v>3.4682080924855488E-2</v>
      </c>
    </row>
    <row r="122" spans="1:9" x14ac:dyDescent="0.3">
      <c r="A122">
        <v>18888262</v>
      </c>
      <c r="B122">
        <v>1</v>
      </c>
      <c r="C122">
        <v>17</v>
      </c>
      <c r="D122">
        <v>11</v>
      </c>
      <c r="E122">
        <v>91</v>
      </c>
      <c r="F122">
        <v>175</v>
      </c>
      <c r="G122">
        <v>157</v>
      </c>
      <c r="H122">
        <v>452</v>
      </c>
      <c r="I122" s="2">
        <v>3.7610619469026552E-2</v>
      </c>
    </row>
    <row r="123" spans="1:9" x14ac:dyDescent="0.3">
      <c r="A123">
        <v>18894516</v>
      </c>
      <c r="B123">
        <v>1</v>
      </c>
      <c r="C123">
        <v>12</v>
      </c>
      <c r="D123">
        <v>9</v>
      </c>
      <c r="E123">
        <v>14</v>
      </c>
      <c r="F123">
        <v>43</v>
      </c>
      <c r="G123">
        <v>125</v>
      </c>
      <c r="H123">
        <v>204</v>
      </c>
      <c r="I123" s="2">
        <v>5.8823529411764705E-2</v>
      </c>
    </row>
    <row r="124" spans="1:9" x14ac:dyDescent="0.3">
      <c r="A124">
        <v>18922458</v>
      </c>
      <c r="B124">
        <v>1</v>
      </c>
      <c r="C124">
        <v>6</v>
      </c>
      <c r="D124">
        <v>3</v>
      </c>
      <c r="E124">
        <v>0</v>
      </c>
      <c r="F124">
        <v>9</v>
      </c>
      <c r="G124">
        <v>39</v>
      </c>
      <c r="H124">
        <v>58</v>
      </c>
      <c r="I124" s="2">
        <v>0.10344827586206896</v>
      </c>
    </row>
    <row r="125" spans="1:9" x14ac:dyDescent="0.3">
      <c r="A125">
        <v>18946614</v>
      </c>
      <c r="B125">
        <v>1</v>
      </c>
      <c r="C125">
        <v>8</v>
      </c>
      <c r="D125">
        <v>4</v>
      </c>
      <c r="E125">
        <v>4</v>
      </c>
      <c r="F125">
        <v>18</v>
      </c>
      <c r="G125">
        <v>54</v>
      </c>
      <c r="H125">
        <v>89</v>
      </c>
      <c r="I125" s="2">
        <v>8.98876404494382E-2</v>
      </c>
    </row>
    <row r="126" spans="1:9" x14ac:dyDescent="0.3">
      <c r="A126">
        <v>18955952</v>
      </c>
      <c r="B126">
        <v>1</v>
      </c>
      <c r="C126">
        <v>18</v>
      </c>
      <c r="D126">
        <v>31</v>
      </c>
      <c r="E126">
        <v>62</v>
      </c>
      <c r="F126">
        <v>51</v>
      </c>
      <c r="G126">
        <v>94</v>
      </c>
      <c r="H126">
        <v>257</v>
      </c>
      <c r="I126" s="2">
        <v>7.0038910505836577E-2</v>
      </c>
    </row>
    <row r="127" spans="1:9" x14ac:dyDescent="0.3">
      <c r="A127">
        <v>18975836</v>
      </c>
      <c r="B127">
        <v>1</v>
      </c>
      <c r="C127">
        <v>10</v>
      </c>
      <c r="D127">
        <v>5</v>
      </c>
      <c r="E127">
        <v>38</v>
      </c>
      <c r="F127">
        <v>44</v>
      </c>
      <c r="G127">
        <v>74</v>
      </c>
      <c r="H127">
        <v>172</v>
      </c>
      <c r="I127" s="2">
        <v>5.8139534883720929E-2</v>
      </c>
    </row>
    <row r="128" spans="1:9" x14ac:dyDescent="0.3">
      <c r="A128">
        <v>19009381</v>
      </c>
      <c r="B128">
        <v>1</v>
      </c>
      <c r="C128">
        <v>14</v>
      </c>
      <c r="D128">
        <v>21</v>
      </c>
      <c r="E128">
        <v>66</v>
      </c>
      <c r="F128">
        <v>189</v>
      </c>
      <c r="G128">
        <v>172</v>
      </c>
      <c r="H128">
        <v>463</v>
      </c>
      <c r="I128" s="2">
        <v>3.0237580993520519E-2</v>
      </c>
    </row>
    <row r="129" spans="1:9" x14ac:dyDescent="0.3">
      <c r="A129">
        <v>19043504</v>
      </c>
      <c r="B129">
        <v>1</v>
      </c>
      <c r="C129">
        <v>10</v>
      </c>
      <c r="D129">
        <v>19</v>
      </c>
      <c r="E129">
        <v>77</v>
      </c>
      <c r="F129">
        <v>105</v>
      </c>
      <c r="G129">
        <v>138</v>
      </c>
      <c r="H129">
        <v>350</v>
      </c>
      <c r="I129" s="2">
        <v>2.8571428571428571E-2</v>
      </c>
    </row>
    <row r="130" spans="1:9" x14ac:dyDescent="0.3">
      <c r="A130">
        <v>19043899</v>
      </c>
      <c r="B130">
        <v>1</v>
      </c>
      <c r="C130">
        <v>10</v>
      </c>
      <c r="D130">
        <v>10</v>
      </c>
      <c r="E130">
        <v>10</v>
      </c>
      <c r="F130">
        <v>25</v>
      </c>
      <c r="G130">
        <v>104</v>
      </c>
      <c r="H130">
        <v>160</v>
      </c>
      <c r="I130" s="2">
        <v>6.25E-2</v>
      </c>
    </row>
    <row r="131" spans="1:9" x14ac:dyDescent="0.3">
      <c r="A131">
        <v>19084220</v>
      </c>
      <c r="B131">
        <v>1</v>
      </c>
      <c r="C131">
        <v>10</v>
      </c>
      <c r="D131">
        <v>3</v>
      </c>
      <c r="E131">
        <v>26</v>
      </c>
      <c r="F131">
        <v>79</v>
      </c>
      <c r="G131">
        <v>85</v>
      </c>
      <c r="H131">
        <v>204</v>
      </c>
      <c r="I131" s="2">
        <v>4.9019607843137254E-2</v>
      </c>
    </row>
    <row r="132" spans="1:9" x14ac:dyDescent="0.3">
      <c r="A132">
        <v>19099392</v>
      </c>
      <c r="B132">
        <v>1</v>
      </c>
      <c r="C132">
        <v>11</v>
      </c>
      <c r="D132">
        <v>6</v>
      </c>
      <c r="E132">
        <v>24</v>
      </c>
      <c r="F132">
        <v>54</v>
      </c>
      <c r="G132">
        <v>111</v>
      </c>
      <c r="H132">
        <v>207</v>
      </c>
      <c r="I132" s="2">
        <v>5.3140096618357488E-2</v>
      </c>
    </row>
    <row r="133" spans="1:9" x14ac:dyDescent="0.3">
      <c r="A133">
        <v>19366669</v>
      </c>
      <c r="B133">
        <v>1</v>
      </c>
      <c r="C133">
        <v>6</v>
      </c>
      <c r="D133">
        <v>15</v>
      </c>
      <c r="E133">
        <v>80</v>
      </c>
      <c r="F133">
        <v>300</v>
      </c>
      <c r="G133">
        <v>128</v>
      </c>
      <c r="H133">
        <v>530</v>
      </c>
      <c r="I133" s="2">
        <v>1.1320754716981131E-2</v>
      </c>
    </row>
    <row r="134" spans="1:9" x14ac:dyDescent="0.3">
      <c r="A134">
        <v>19387086</v>
      </c>
      <c r="B134">
        <v>1</v>
      </c>
      <c r="C134">
        <v>10</v>
      </c>
      <c r="D134">
        <v>15</v>
      </c>
      <c r="E134">
        <v>26</v>
      </c>
      <c r="F134">
        <v>43</v>
      </c>
      <c r="G134">
        <v>39</v>
      </c>
      <c r="H134">
        <v>134</v>
      </c>
      <c r="I134" s="2">
        <v>7.4626865671641784E-2</v>
      </c>
    </row>
    <row r="135" spans="1:9" x14ac:dyDescent="0.3">
      <c r="A135">
        <v>19414764</v>
      </c>
      <c r="B135">
        <v>1</v>
      </c>
      <c r="C135">
        <v>7</v>
      </c>
      <c r="D135">
        <v>2</v>
      </c>
      <c r="E135">
        <v>22</v>
      </c>
      <c r="F135">
        <v>51</v>
      </c>
      <c r="G135">
        <v>75</v>
      </c>
      <c r="H135">
        <v>158</v>
      </c>
      <c r="I135" s="2">
        <v>4.4303797468354431E-2</v>
      </c>
    </row>
    <row r="136" spans="1:9" x14ac:dyDescent="0.3">
      <c r="A136">
        <v>19495223</v>
      </c>
      <c r="B136">
        <v>1</v>
      </c>
      <c r="C136">
        <v>17</v>
      </c>
      <c r="D136">
        <v>15</v>
      </c>
      <c r="E136">
        <v>40</v>
      </c>
      <c r="F136">
        <v>57</v>
      </c>
      <c r="G136">
        <v>76</v>
      </c>
      <c r="H136">
        <v>206</v>
      </c>
      <c r="I136" s="2">
        <v>8.2524271844660199E-2</v>
      </c>
    </row>
    <row r="137" spans="1:9" x14ac:dyDescent="0.3">
      <c r="A137">
        <v>19544065</v>
      </c>
      <c r="B137">
        <v>1</v>
      </c>
      <c r="C137">
        <v>11</v>
      </c>
      <c r="D137">
        <v>3</v>
      </c>
      <c r="E137">
        <v>26</v>
      </c>
      <c r="F137">
        <v>80</v>
      </c>
      <c r="G137">
        <v>107</v>
      </c>
      <c r="H137">
        <v>228</v>
      </c>
      <c r="I137" s="2">
        <v>4.8245614035087717E-2</v>
      </c>
    </row>
    <row r="138" spans="1:9" x14ac:dyDescent="0.3">
      <c r="A138">
        <v>19567285</v>
      </c>
      <c r="B138">
        <v>1</v>
      </c>
      <c r="C138">
        <v>8</v>
      </c>
      <c r="D138">
        <v>6</v>
      </c>
      <c r="E138">
        <v>46</v>
      </c>
      <c r="F138">
        <v>25</v>
      </c>
      <c r="G138">
        <v>48</v>
      </c>
      <c r="H138">
        <v>134</v>
      </c>
      <c r="I138" s="2">
        <v>5.9701492537313432E-2</v>
      </c>
    </row>
    <row r="139" spans="1:9" x14ac:dyDescent="0.3">
      <c r="A139">
        <v>19704896</v>
      </c>
      <c r="B139">
        <v>1</v>
      </c>
      <c r="C139">
        <v>15</v>
      </c>
      <c r="D139">
        <v>15</v>
      </c>
      <c r="E139">
        <v>61</v>
      </c>
      <c r="F139">
        <v>92</v>
      </c>
      <c r="G139">
        <v>135</v>
      </c>
      <c r="H139">
        <v>319</v>
      </c>
      <c r="I139" s="2">
        <v>4.7021943573667714E-2</v>
      </c>
    </row>
    <row r="140" spans="1:9" x14ac:dyDescent="0.3">
      <c r="A140">
        <v>20089790</v>
      </c>
      <c r="B140">
        <v>1</v>
      </c>
      <c r="C140">
        <v>9</v>
      </c>
      <c r="D140">
        <v>7</v>
      </c>
      <c r="E140">
        <v>11</v>
      </c>
      <c r="F140">
        <v>34</v>
      </c>
      <c r="G140">
        <v>86</v>
      </c>
      <c r="H140">
        <v>148</v>
      </c>
      <c r="I140" s="2">
        <v>6.0810810810810814E-2</v>
      </c>
    </row>
    <row r="141" spans="1:9" x14ac:dyDescent="0.3">
      <c r="A141">
        <v>20132937</v>
      </c>
      <c r="B141">
        <v>1</v>
      </c>
      <c r="C141">
        <v>18</v>
      </c>
      <c r="D141">
        <v>14</v>
      </c>
      <c r="E141">
        <v>63</v>
      </c>
      <c r="F141">
        <v>182</v>
      </c>
      <c r="G141">
        <v>149</v>
      </c>
      <c r="H141">
        <v>427</v>
      </c>
      <c r="I141" s="2">
        <v>4.2154566744730677E-2</v>
      </c>
    </row>
    <row r="142" spans="1:9" x14ac:dyDescent="0.3">
      <c r="A142">
        <v>20177857</v>
      </c>
      <c r="B142">
        <v>1</v>
      </c>
      <c r="C142">
        <v>10</v>
      </c>
      <c r="D142">
        <v>6</v>
      </c>
      <c r="E142">
        <v>12</v>
      </c>
      <c r="F142">
        <v>40</v>
      </c>
      <c r="G142">
        <v>79</v>
      </c>
      <c r="H142">
        <v>148</v>
      </c>
      <c r="I142" s="2">
        <v>6.7567567567567571E-2</v>
      </c>
    </row>
    <row r="143" spans="1:9" x14ac:dyDescent="0.3">
      <c r="A143">
        <v>20187243</v>
      </c>
      <c r="B143">
        <v>1</v>
      </c>
      <c r="C143">
        <v>7</v>
      </c>
      <c r="D143">
        <v>1</v>
      </c>
      <c r="E143">
        <v>12</v>
      </c>
      <c r="F143">
        <v>34</v>
      </c>
      <c r="G143">
        <v>102</v>
      </c>
      <c r="H143">
        <v>157</v>
      </c>
      <c r="I143" s="2">
        <v>4.4585987261146494E-2</v>
      </c>
    </row>
    <row r="144" spans="1:9" x14ac:dyDescent="0.3">
      <c r="A144">
        <v>20441308</v>
      </c>
      <c r="B144">
        <v>1</v>
      </c>
      <c r="C144">
        <v>6</v>
      </c>
      <c r="D144">
        <v>0</v>
      </c>
      <c r="E144">
        <v>7</v>
      </c>
      <c r="F144">
        <v>29</v>
      </c>
      <c r="G144">
        <v>99</v>
      </c>
      <c r="H144">
        <v>142</v>
      </c>
      <c r="I144" s="2">
        <v>4.2253521126760563E-2</v>
      </c>
    </row>
    <row r="145" spans="1:9" x14ac:dyDescent="0.3">
      <c r="A145">
        <v>20489846</v>
      </c>
      <c r="B145">
        <v>1</v>
      </c>
      <c r="C145">
        <v>6</v>
      </c>
      <c r="D145">
        <v>3</v>
      </c>
      <c r="E145">
        <v>1</v>
      </c>
      <c r="F145">
        <v>5</v>
      </c>
      <c r="G145">
        <v>11</v>
      </c>
      <c r="H145">
        <v>27</v>
      </c>
      <c r="I145" s="2">
        <v>0.22222222222222221</v>
      </c>
    </row>
    <row r="146" spans="1:9" x14ac:dyDescent="0.3">
      <c r="A146">
        <v>20623447</v>
      </c>
      <c r="B146">
        <v>1</v>
      </c>
      <c r="C146">
        <v>18</v>
      </c>
      <c r="D146">
        <v>10</v>
      </c>
      <c r="E146">
        <v>44</v>
      </c>
      <c r="F146">
        <v>75</v>
      </c>
      <c r="G146">
        <v>73</v>
      </c>
      <c r="H146">
        <v>221</v>
      </c>
      <c r="I146" s="2">
        <v>8.1447963800904979E-2</v>
      </c>
    </row>
    <row r="147" spans="1:9" x14ac:dyDescent="0.3">
      <c r="A147">
        <v>20629061</v>
      </c>
      <c r="B147">
        <v>1</v>
      </c>
      <c r="C147">
        <v>9</v>
      </c>
      <c r="D147">
        <v>11</v>
      </c>
      <c r="E147">
        <v>35</v>
      </c>
      <c r="F147">
        <v>153</v>
      </c>
      <c r="G147">
        <v>186</v>
      </c>
      <c r="H147">
        <v>395</v>
      </c>
      <c r="I147" s="2">
        <v>2.2784810126582278E-2</v>
      </c>
    </row>
    <row r="148" spans="1:9" x14ac:dyDescent="0.3">
      <c r="A148">
        <v>20713875</v>
      </c>
      <c r="B148">
        <v>1</v>
      </c>
      <c r="C148">
        <v>6</v>
      </c>
      <c r="D148">
        <v>4</v>
      </c>
      <c r="E148">
        <v>19</v>
      </c>
      <c r="F148">
        <v>28</v>
      </c>
      <c r="G148">
        <v>54</v>
      </c>
      <c r="H148">
        <v>112</v>
      </c>
      <c r="I148" s="2">
        <v>5.3571428571428568E-2</v>
      </c>
    </row>
    <row r="149" spans="1:9" x14ac:dyDescent="0.3">
      <c r="A149">
        <v>20723493</v>
      </c>
      <c r="B149">
        <v>1</v>
      </c>
      <c r="C149">
        <v>6</v>
      </c>
      <c r="D149">
        <v>3</v>
      </c>
      <c r="E149">
        <v>9</v>
      </c>
      <c r="F149">
        <v>12</v>
      </c>
      <c r="G149">
        <v>41</v>
      </c>
      <c r="H149">
        <v>72</v>
      </c>
      <c r="I149" s="2">
        <v>8.3333333333333329E-2</v>
      </c>
    </row>
    <row r="150" spans="1:9" x14ac:dyDescent="0.3">
      <c r="A150">
        <v>21109367</v>
      </c>
      <c r="B150">
        <v>1</v>
      </c>
      <c r="C150">
        <v>8</v>
      </c>
      <c r="D150">
        <v>6</v>
      </c>
      <c r="E150">
        <v>19</v>
      </c>
      <c r="F150">
        <v>32</v>
      </c>
      <c r="G150">
        <v>104</v>
      </c>
      <c r="H150">
        <v>170</v>
      </c>
      <c r="I150" s="2">
        <v>4.7058823529411764E-2</v>
      </c>
    </row>
    <row r="151" spans="1:9" x14ac:dyDescent="0.3">
      <c r="A151">
        <v>21115293</v>
      </c>
      <c r="B151">
        <v>1</v>
      </c>
      <c r="C151">
        <v>6</v>
      </c>
      <c r="D151">
        <v>10</v>
      </c>
      <c r="E151">
        <v>42</v>
      </c>
      <c r="F151">
        <v>81</v>
      </c>
      <c r="G151">
        <v>95</v>
      </c>
      <c r="H151">
        <v>235</v>
      </c>
      <c r="I151" s="2">
        <v>2.553191489361702E-2</v>
      </c>
    </row>
    <row r="152" spans="1:9" x14ac:dyDescent="0.3">
      <c r="A152">
        <v>21276235</v>
      </c>
      <c r="B152">
        <v>1</v>
      </c>
      <c r="C152">
        <v>31</v>
      </c>
      <c r="D152">
        <v>47</v>
      </c>
      <c r="E152">
        <v>220</v>
      </c>
      <c r="F152">
        <v>316</v>
      </c>
      <c r="G152">
        <v>157</v>
      </c>
      <c r="H152">
        <v>772</v>
      </c>
      <c r="I152" s="2">
        <v>4.0155440414507769E-2</v>
      </c>
    </row>
    <row r="153" spans="1:9" x14ac:dyDescent="0.3">
      <c r="A153">
        <v>21289634</v>
      </c>
      <c r="B153">
        <v>1</v>
      </c>
      <c r="C153">
        <v>13</v>
      </c>
      <c r="D153">
        <v>5</v>
      </c>
      <c r="E153">
        <v>9</v>
      </c>
      <c r="F153">
        <v>27</v>
      </c>
      <c r="G153">
        <v>57</v>
      </c>
      <c r="H153">
        <v>112</v>
      </c>
      <c r="I153" s="2">
        <v>0.11607142857142858</v>
      </c>
    </row>
    <row r="154" spans="1:9" x14ac:dyDescent="0.3">
      <c r="A154">
        <v>21316893</v>
      </c>
      <c r="B154">
        <v>1</v>
      </c>
      <c r="C154">
        <v>6</v>
      </c>
      <c r="D154">
        <v>8</v>
      </c>
      <c r="E154">
        <v>16</v>
      </c>
      <c r="F154">
        <v>11</v>
      </c>
      <c r="G154">
        <v>46</v>
      </c>
      <c r="H154">
        <v>88</v>
      </c>
      <c r="I154" s="2">
        <v>6.8181818181818177E-2</v>
      </c>
    </row>
    <row r="155" spans="1:9" x14ac:dyDescent="0.3">
      <c r="A155">
        <v>21332401</v>
      </c>
      <c r="B155">
        <v>1</v>
      </c>
      <c r="C155">
        <v>10</v>
      </c>
      <c r="D155">
        <v>5</v>
      </c>
      <c r="E155">
        <v>21</v>
      </c>
      <c r="F155">
        <v>48</v>
      </c>
      <c r="G155">
        <v>87</v>
      </c>
      <c r="H155">
        <v>172</v>
      </c>
      <c r="I155" s="2">
        <v>5.8139534883720929E-2</v>
      </c>
    </row>
    <row r="156" spans="1:9" x14ac:dyDescent="0.3">
      <c r="A156">
        <v>21449574</v>
      </c>
      <c r="B156">
        <v>1</v>
      </c>
      <c r="C156">
        <v>7</v>
      </c>
      <c r="D156">
        <v>6</v>
      </c>
      <c r="E156">
        <v>10</v>
      </c>
      <c r="F156">
        <v>26</v>
      </c>
      <c r="G156">
        <v>32</v>
      </c>
      <c r="H156">
        <v>82</v>
      </c>
      <c r="I156" s="2">
        <v>8.5365853658536592E-2</v>
      </c>
    </row>
    <row r="157" spans="1:9" x14ac:dyDescent="0.3">
      <c r="A157">
        <v>21455148</v>
      </c>
      <c r="B157">
        <v>1</v>
      </c>
      <c r="C157">
        <v>7</v>
      </c>
      <c r="D157">
        <v>7</v>
      </c>
      <c r="E157">
        <v>33</v>
      </c>
      <c r="F157">
        <v>79</v>
      </c>
      <c r="G157">
        <v>99</v>
      </c>
      <c r="H157">
        <v>226</v>
      </c>
      <c r="I157" s="2">
        <v>3.0973451327433628E-2</v>
      </c>
    </row>
    <row r="158" spans="1:9" x14ac:dyDescent="0.3">
      <c r="A158">
        <v>21467695</v>
      </c>
      <c r="B158">
        <v>1</v>
      </c>
      <c r="C158">
        <v>7</v>
      </c>
      <c r="D158">
        <v>9</v>
      </c>
      <c r="E158">
        <v>7</v>
      </c>
      <c r="F158">
        <v>11</v>
      </c>
      <c r="G158">
        <v>53</v>
      </c>
      <c r="H158">
        <v>88</v>
      </c>
      <c r="I158" s="2">
        <v>7.9545454545454544E-2</v>
      </c>
    </row>
    <row r="159" spans="1:9" x14ac:dyDescent="0.3">
      <c r="A159">
        <v>21508695</v>
      </c>
      <c r="B159">
        <v>1</v>
      </c>
      <c r="C159">
        <v>6</v>
      </c>
      <c r="D159">
        <v>17</v>
      </c>
      <c r="E159">
        <v>20</v>
      </c>
      <c r="F159">
        <v>33</v>
      </c>
      <c r="G159">
        <v>101</v>
      </c>
      <c r="H159">
        <v>178</v>
      </c>
      <c r="I159" s="2">
        <v>3.3707865168539325E-2</v>
      </c>
    </row>
    <row r="160" spans="1:9" x14ac:dyDescent="0.3">
      <c r="A160">
        <v>21568308</v>
      </c>
      <c r="B160">
        <v>1</v>
      </c>
      <c r="C160">
        <v>7</v>
      </c>
      <c r="D160">
        <v>14</v>
      </c>
      <c r="E160">
        <v>22</v>
      </c>
      <c r="F160">
        <v>48</v>
      </c>
      <c r="G160">
        <v>62</v>
      </c>
      <c r="H160">
        <v>154</v>
      </c>
      <c r="I160" s="2">
        <v>4.5454545454545456E-2</v>
      </c>
    </row>
    <row r="161" spans="1:9" x14ac:dyDescent="0.3">
      <c r="A161">
        <v>21637377</v>
      </c>
      <c r="B161">
        <v>1</v>
      </c>
      <c r="C161">
        <v>9</v>
      </c>
      <c r="D161">
        <v>3</v>
      </c>
      <c r="E161">
        <v>9</v>
      </c>
      <c r="F161">
        <v>25</v>
      </c>
      <c r="G161">
        <v>91</v>
      </c>
      <c r="H161">
        <v>138</v>
      </c>
      <c r="I161" s="2">
        <v>6.5217391304347824E-2</v>
      </c>
    </row>
    <row r="162" spans="1:9" x14ac:dyDescent="0.3">
      <c r="A162">
        <v>21724767</v>
      </c>
      <c r="B162">
        <v>1</v>
      </c>
      <c r="C162">
        <v>8</v>
      </c>
      <c r="D162">
        <v>6</v>
      </c>
      <c r="E162">
        <v>17</v>
      </c>
      <c r="F162">
        <v>38</v>
      </c>
      <c r="G162">
        <v>124</v>
      </c>
      <c r="H162">
        <v>194</v>
      </c>
      <c r="I162" s="2">
        <v>4.1237113402061855E-2</v>
      </c>
    </row>
    <row r="163" spans="1:9" x14ac:dyDescent="0.3">
      <c r="A163">
        <v>21775316</v>
      </c>
      <c r="B163">
        <v>1</v>
      </c>
      <c r="C163">
        <v>15</v>
      </c>
      <c r="D163">
        <v>8</v>
      </c>
      <c r="E163">
        <v>10</v>
      </c>
      <c r="F163">
        <v>49</v>
      </c>
      <c r="G163">
        <v>112</v>
      </c>
      <c r="H163">
        <v>195</v>
      </c>
      <c r="I163" s="2">
        <v>7.6923076923076927E-2</v>
      </c>
    </row>
    <row r="164" spans="1:9" x14ac:dyDescent="0.3">
      <c r="A164">
        <v>21999677</v>
      </c>
      <c r="B164">
        <v>1</v>
      </c>
      <c r="C164">
        <v>7</v>
      </c>
      <c r="D164">
        <v>4</v>
      </c>
      <c r="E164">
        <v>15</v>
      </c>
      <c r="F164">
        <v>6</v>
      </c>
      <c r="G164">
        <v>37</v>
      </c>
      <c r="H164">
        <v>70</v>
      </c>
      <c r="I164" s="2">
        <v>0.1</v>
      </c>
    </row>
    <row r="165" spans="1:9" x14ac:dyDescent="0.3">
      <c r="A165">
        <v>22235214</v>
      </c>
      <c r="B165">
        <v>1</v>
      </c>
      <c r="C165">
        <v>9</v>
      </c>
      <c r="D165">
        <v>16</v>
      </c>
      <c r="E165">
        <v>52</v>
      </c>
      <c r="F165">
        <v>178</v>
      </c>
      <c r="G165">
        <v>141</v>
      </c>
      <c r="H165">
        <v>397</v>
      </c>
      <c r="I165" s="2">
        <v>2.2670025188916875E-2</v>
      </c>
    </row>
    <row r="166" spans="1:9" x14ac:dyDescent="0.3">
      <c r="A166">
        <v>22246705</v>
      </c>
      <c r="B166">
        <v>1</v>
      </c>
      <c r="C166">
        <v>8</v>
      </c>
      <c r="D166">
        <v>9</v>
      </c>
      <c r="E166">
        <v>41</v>
      </c>
      <c r="F166">
        <v>76</v>
      </c>
      <c r="G166">
        <v>108</v>
      </c>
      <c r="H166">
        <v>243</v>
      </c>
      <c r="I166" s="2">
        <v>3.292181069958848E-2</v>
      </c>
    </row>
    <row r="167" spans="1:9" x14ac:dyDescent="0.3">
      <c r="A167">
        <v>22467496</v>
      </c>
      <c r="B167">
        <v>1</v>
      </c>
      <c r="C167">
        <v>8</v>
      </c>
      <c r="D167">
        <v>0</v>
      </c>
      <c r="E167">
        <v>9</v>
      </c>
      <c r="F167">
        <v>52</v>
      </c>
      <c r="G167">
        <v>70</v>
      </c>
      <c r="H167">
        <v>140</v>
      </c>
      <c r="I167" s="2">
        <v>5.7142857142857141E-2</v>
      </c>
    </row>
    <row r="168" spans="1:9" x14ac:dyDescent="0.3">
      <c r="A168">
        <v>22497622</v>
      </c>
      <c r="B168">
        <v>1</v>
      </c>
      <c r="C168">
        <v>51</v>
      </c>
      <c r="D168">
        <v>37</v>
      </c>
      <c r="E168">
        <v>54</v>
      </c>
      <c r="F168">
        <v>147</v>
      </c>
      <c r="G168">
        <v>173</v>
      </c>
      <c r="H168">
        <v>463</v>
      </c>
      <c r="I168" s="2">
        <v>0.1101511879049676</v>
      </c>
    </row>
    <row r="169" spans="1:9" x14ac:dyDescent="0.3">
      <c r="A169">
        <v>22543160</v>
      </c>
      <c r="B169">
        <v>1</v>
      </c>
      <c r="C169">
        <v>11</v>
      </c>
      <c r="D169">
        <v>5</v>
      </c>
      <c r="E169">
        <v>10</v>
      </c>
      <c r="F169">
        <v>8</v>
      </c>
      <c r="G169">
        <v>51</v>
      </c>
      <c r="H169">
        <v>86</v>
      </c>
      <c r="I169" s="2">
        <v>0.12790697674418605</v>
      </c>
    </row>
    <row r="170" spans="1:9" x14ac:dyDescent="0.3">
      <c r="A170">
        <v>22548006</v>
      </c>
      <c r="B170">
        <v>1</v>
      </c>
      <c r="C170">
        <v>6</v>
      </c>
      <c r="D170">
        <v>4</v>
      </c>
      <c r="E170">
        <v>9</v>
      </c>
      <c r="F170">
        <v>28</v>
      </c>
      <c r="G170">
        <v>84</v>
      </c>
      <c r="H170">
        <v>132</v>
      </c>
      <c r="I170" s="2">
        <v>4.5454545454545456E-2</v>
      </c>
    </row>
    <row r="171" spans="1:9" x14ac:dyDescent="0.3">
      <c r="A171">
        <v>22760945</v>
      </c>
      <c r="B171">
        <v>1</v>
      </c>
      <c r="C171">
        <v>17</v>
      </c>
      <c r="D171">
        <v>4</v>
      </c>
      <c r="E171">
        <v>4</v>
      </c>
      <c r="F171">
        <v>9</v>
      </c>
      <c r="G171">
        <v>45</v>
      </c>
      <c r="H171">
        <v>80</v>
      </c>
      <c r="I171" s="2">
        <v>0.21249999999999999</v>
      </c>
    </row>
    <row r="172" spans="1:9" x14ac:dyDescent="0.3">
      <c r="A172">
        <v>22776717</v>
      </c>
      <c r="B172">
        <v>1</v>
      </c>
      <c r="C172">
        <v>12</v>
      </c>
      <c r="D172">
        <v>6</v>
      </c>
      <c r="E172">
        <v>8</v>
      </c>
      <c r="F172">
        <v>28</v>
      </c>
      <c r="G172">
        <v>103</v>
      </c>
      <c r="H172">
        <v>158</v>
      </c>
      <c r="I172" s="2">
        <v>7.5949367088607597E-2</v>
      </c>
    </row>
    <row r="173" spans="1:9" x14ac:dyDescent="0.3">
      <c r="A173">
        <v>22846918</v>
      </c>
      <c r="B173">
        <v>1</v>
      </c>
      <c r="C173">
        <v>6</v>
      </c>
      <c r="D173">
        <v>8</v>
      </c>
      <c r="E173">
        <v>20</v>
      </c>
      <c r="F173">
        <v>43</v>
      </c>
      <c r="G173">
        <v>56</v>
      </c>
      <c r="H173">
        <v>134</v>
      </c>
      <c r="I173" s="2">
        <v>4.4776119402985072E-2</v>
      </c>
    </row>
    <row r="174" spans="1:9" x14ac:dyDescent="0.3">
      <c r="A174">
        <v>23032705</v>
      </c>
      <c r="B174">
        <v>1</v>
      </c>
      <c r="C174">
        <v>6</v>
      </c>
      <c r="D174">
        <v>0</v>
      </c>
      <c r="E174">
        <v>22</v>
      </c>
      <c r="F174">
        <v>50</v>
      </c>
      <c r="G174">
        <v>65</v>
      </c>
      <c r="H174">
        <v>144</v>
      </c>
      <c r="I174" s="2">
        <v>4.1666666666666664E-2</v>
      </c>
    </row>
    <row r="175" spans="1:9" x14ac:dyDescent="0.3">
      <c r="A175">
        <v>23117606</v>
      </c>
      <c r="B175">
        <v>1</v>
      </c>
      <c r="C175">
        <v>10</v>
      </c>
      <c r="D175">
        <v>8</v>
      </c>
      <c r="E175">
        <v>20</v>
      </c>
      <c r="F175">
        <v>31</v>
      </c>
      <c r="G175">
        <v>123</v>
      </c>
      <c r="H175">
        <v>193</v>
      </c>
      <c r="I175" s="2">
        <v>5.181347150259067E-2</v>
      </c>
    </row>
    <row r="176" spans="1:9" x14ac:dyDescent="0.3">
      <c r="A176">
        <v>23253589</v>
      </c>
      <c r="B176">
        <v>1</v>
      </c>
      <c r="C176">
        <v>8</v>
      </c>
      <c r="D176">
        <v>52</v>
      </c>
      <c r="E176">
        <v>67</v>
      </c>
      <c r="F176">
        <v>100</v>
      </c>
      <c r="G176">
        <v>112</v>
      </c>
      <c r="H176">
        <v>340</v>
      </c>
      <c r="I176" s="2">
        <v>2.3529411764705882E-2</v>
      </c>
    </row>
    <row r="177" spans="1:9" x14ac:dyDescent="0.3">
      <c r="A177">
        <v>23440827</v>
      </c>
      <c r="B177">
        <v>1</v>
      </c>
      <c r="C177">
        <v>7</v>
      </c>
      <c r="D177">
        <v>12</v>
      </c>
      <c r="E177">
        <v>48</v>
      </c>
      <c r="F177">
        <v>103</v>
      </c>
      <c r="G177">
        <v>109</v>
      </c>
      <c r="H177">
        <v>280</v>
      </c>
      <c r="I177" s="2">
        <v>2.5000000000000001E-2</v>
      </c>
    </row>
    <row r="178" spans="1:9" x14ac:dyDescent="0.3">
      <c r="A178">
        <v>23617458</v>
      </c>
      <c r="B178">
        <v>1</v>
      </c>
      <c r="C178">
        <v>9</v>
      </c>
      <c r="D178">
        <v>0</v>
      </c>
      <c r="E178">
        <v>5</v>
      </c>
      <c r="F178">
        <v>12</v>
      </c>
      <c r="G178">
        <v>61</v>
      </c>
      <c r="H178">
        <v>88</v>
      </c>
      <c r="I178" s="2">
        <v>0.10227272727272728</v>
      </c>
    </row>
    <row r="179" spans="1:9" x14ac:dyDescent="0.3">
      <c r="A179">
        <v>23720762</v>
      </c>
      <c r="B179">
        <v>1</v>
      </c>
      <c r="C179">
        <v>6</v>
      </c>
      <c r="D179">
        <v>0</v>
      </c>
      <c r="E179">
        <v>4</v>
      </c>
      <c r="F179">
        <v>9</v>
      </c>
      <c r="G179">
        <v>40</v>
      </c>
      <c r="H179">
        <v>60</v>
      </c>
      <c r="I179" s="2">
        <v>0.1</v>
      </c>
    </row>
    <row r="180" spans="1:9" x14ac:dyDescent="0.3">
      <c r="A180">
        <v>23788304</v>
      </c>
      <c r="B180">
        <v>1</v>
      </c>
      <c r="C180">
        <v>6</v>
      </c>
      <c r="D180">
        <v>12</v>
      </c>
      <c r="E180">
        <v>23</v>
      </c>
      <c r="F180">
        <v>23</v>
      </c>
      <c r="G180">
        <v>63</v>
      </c>
      <c r="H180">
        <v>128</v>
      </c>
      <c r="I180" s="2">
        <v>4.6875E-2</v>
      </c>
    </row>
    <row r="181" spans="1:9" x14ac:dyDescent="0.3">
      <c r="A181">
        <v>23832593</v>
      </c>
      <c r="B181">
        <v>1</v>
      </c>
      <c r="C181">
        <v>9</v>
      </c>
      <c r="D181">
        <v>12</v>
      </c>
      <c r="E181">
        <v>41</v>
      </c>
      <c r="F181">
        <v>62</v>
      </c>
      <c r="G181">
        <v>109</v>
      </c>
      <c r="H181">
        <v>234</v>
      </c>
      <c r="I181" s="2">
        <v>3.8461538461538464E-2</v>
      </c>
    </row>
    <row r="182" spans="1:9" x14ac:dyDescent="0.3">
      <c r="A182">
        <v>24101002</v>
      </c>
      <c r="B182">
        <v>1</v>
      </c>
      <c r="C182">
        <v>8</v>
      </c>
      <c r="D182">
        <v>3</v>
      </c>
      <c r="E182">
        <v>16</v>
      </c>
      <c r="F182">
        <v>73</v>
      </c>
      <c r="G182">
        <v>171</v>
      </c>
      <c r="H182">
        <v>272</v>
      </c>
      <c r="I182" s="2">
        <v>2.9411764705882353E-2</v>
      </c>
    </row>
    <row r="183" spans="1:9" x14ac:dyDescent="0.3">
      <c r="A183">
        <v>24124378</v>
      </c>
      <c r="B183">
        <v>1</v>
      </c>
      <c r="C183">
        <v>52</v>
      </c>
      <c r="D183">
        <v>54</v>
      </c>
      <c r="E183">
        <v>27</v>
      </c>
      <c r="F183">
        <v>18</v>
      </c>
      <c r="G183">
        <v>76</v>
      </c>
      <c r="H183">
        <v>228</v>
      </c>
      <c r="I183" s="2">
        <v>0.22807017543859648</v>
      </c>
    </row>
    <row r="184" spans="1:9" x14ac:dyDescent="0.3">
      <c r="A184">
        <v>24285302</v>
      </c>
      <c r="B184">
        <v>1</v>
      </c>
      <c r="C184">
        <v>18</v>
      </c>
      <c r="D184">
        <v>10</v>
      </c>
      <c r="E184">
        <v>88</v>
      </c>
      <c r="F184">
        <v>87</v>
      </c>
      <c r="G184">
        <v>71</v>
      </c>
      <c r="H184">
        <v>275</v>
      </c>
      <c r="I184" s="2">
        <v>6.545454545454546E-2</v>
      </c>
    </row>
    <row r="185" spans="1:9" x14ac:dyDescent="0.3">
      <c r="A185">
        <v>24340599</v>
      </c>
      <c r="B185">
        <v>1</v>
      </c>
      <c r="C185">
        <v>8</v>
      </c>
      <c r="D185">
        <v>11</v>
      </c>
      <c r="E185">
        <v>22</v>
      </c>
      <c r="F185">
        <v>49</v>
      </c>
      <c r="G185">
        <v>88</v>
      </c>
      <c r="H185">
        <v>179</v>
      </c>
      <c r="I185" s="2">
        <v>4.4692737430167599E-2</v>
      </c>
    </row>
    <row r="186" spans="1:9" x14ac:dyDescent="0.3">
      <c r="A186">
        <v>24565809</v>
      </c>
      <c r="B186">
        <v>1</v>
      </c>
      <c r="C186">
        <v>11</v>
      </c>
      <c r="D186">
        <v>19</v>
      </c>
      <c r="E186">
        <v>71</v>
      </c>
      <c r="F186">
        <v>74</v>
      </c>
      <c r="G186">
        <v>56</v>
      </c>
      <c r="H186">
        <v>232</v>
      </c>
      <c r="I186" s="2">
        <v>4.7413793103448273E-2</v>
      </c>
    </row>
    <row r="187" spans="1:9" x14ac:dyDescent="0.3">
      <c r="A187">
        <v>24575505</v>
      </c>
      <c r="B187">
        <v>1</v>
      </c>
      <c r="C187">
        <v>9</v>
      </c>
      <c r="D187">
        <v>8</v>
      </c>
      <c r="E187">
        <v>42</v>
      </c>
      <c r="F187">
        <v>99</v>
      </c>
      <c r="G187">
        <v>113</v>
      </c>
      <c r="H187">
        <v>272</v>
      </c>
      <c r="I187" s="2">
        <v>3.3088235294117647E-2</v>
      </c>
    </row>
    <row r="188" spans="1:9" x14ac:dyDescent="0.3">
      <c r="A188">
        <v>24810377</v>
      </c>
      <c r="B188">
        <v>1</v>
      </c>
      <c r="C188">
        <v>7</v>
      </c>
      <c r="D188">
        <v>3</v>
      </c>
      <c r="E188">
        <v>4</v>
      </c>
      <c r="F188">
        <v>7</v>
      </c>
      <c r="G188">
        <v>31</v>
      </c>
      <c r="H188">
        <v>53</v>
      </c>
      <c r="I188" s="2">
        <v>0.13207547169811321</v>
      </c>
    </row>
    <row r="189" spans="1:9" x14ac:dyDescent="0.3">
      <c r="A189">
        <v>24831111</v>
      </c>
      <c r="B189">
        <v>1</v>
      </c>
      <c r="C189">
        <v>7</v>
      </c>
      <c r="D189">
        <v>6</v>
      </c>
      <c r="E189">
        <v>16</v>
      </c>
      <c r="F189">
        <v>6</v>
      </c>
      <c r="G189">
        <v>30</v>
      </c>
      <c r="H189">
        <v>66</v>
      </c>
      <c r="I189" s="2">
        <v>0.10606060606060606</v>
      </c>
    </row>
    <row r="190" spans="1:9" x14ac:dyDescent="0.3">
      <c r="A190">
        <v>24936243</v>
      </c>
      <c r="B190">
        <v>1</v>
      </c>
      <c r="C190">
        <v>117</v>
      </c>
      <c r="D190">
        <v>37</v>
      </c>
      <c r="E190">
        <v>17</v>
      </c>
      <c r="F190">
        <v>93</v>
      </c>
      <c r="G190">
        <v>65</v>
      </c>
      <c r="H190">
        <v>330</v>
      </c>
      <c r="I190" s="2">
        <v>0.35454545454545455</v>
      </c>
    </row>
    <row r="191" spans="1:9" x14ac:dyDescent="0.3">
      <c r="A191">
        <v>25018133</v>
      </c>
      <c r="B191">
        <v>1</v>
      </c>
      <c r="C191">
        <v>15</v>
      </c>
      <c r="D191">
        <v>3</v>
      </c>
      <c r="E191">
        <v>16</v>
      </c>
      <c r="F191">
        <v>25</v>
      </c>
      <c r="G191">
        <v>57</v>
      </c>
      <c r="H191">
        <v>117</v>
      </c>
      <c r="I191" s="2">
        <v>0.12820512820512819</v>
      </c>
    </row>
    <row r="192" spans="1:9" x14ac:dyDescent="0.3">
      <c r="A192">
        <v>25036568</v>
      </c>
      <c r="B192">
        <v>1</v>
      </c>
      <c r="C192">
        <v>12</v>
      </c>
      <c r="D192">
        <v>4</v>
      </c>
      <c r="E192">
        <v>16</v>
      </c>
      <c r="F192">
        <v>31</v>
      </c>
      <c r="G192">
        <v>77</v>
      </c>
      <c r="H192">
        <v>141</v>
      </c>
      <c r="I192" s="2">
        <v>8.5106382978723402E-2</v>
      </c>
    </row>
    <row r="193" spans="1:9" x14ac:dyDescent="0.3">
      <c r="A193">
        <v>25192937</v>
      </c>
      <c r="B193">
        <v>1</v>
      </c>
      <c r="C193">
        <v>6</v>
      </c>
      <c r="D193">
        <v>3</v>
      </c>
      <c r="E193">
        <v>15</v>
      </c>
      <c r="F193">
        <v>33</v>
      </c>
      <c r="G193">
        <v>89</v>
      </c>
      <c r="H193">
        <v>147</v>
      </c>
      <c r="I193" s="2">
        <v>4.0816326530612242E-2</v>
      </c>
    </row>
    <row r="194" spans="1:9" x14ac:dyDescent="0.3">
      <c r="A194">
        <v>25301644</v>
      </c>
      <c r="B194">
        <v>1</v>
      </c>
      <c r="C194">
        <v>8</v>
      </c>
      <c r="D194">
        <v>7</v>
      </c>
      <c r="E194">
        <v>39</v>
      </c>
      <c r="F194">
        <v>77</v>
      </c>
      <c r="G194">
        <v>104</v>
      </c>
      <c r="H194">
        <v>236</v>
      </c>
      <c r="I194" s="2">
        <v>3.3898305084745763E-2</v>
      </c>
    </row>
    <row r="195" spans="1:9" x14ac:dyDescent="0.3">
      <c r="A195">
        <v>25349323</v>
      </c>
      <c r="B195">
        <v>1</v>
      </c>
      <c r="C195">
        <v>12</v>
      </c>
      <c r="D195">
        <v>4</v>
      </c>
      <c r="E195">
        <v>29</v>
      </c>
      <c r="F195">
        <v>55</v>
      </c>
      <c r="G195">
        <v>154</v>
      </c>
      <c r="H195">
        <v>255</v>
      </c>
      <c r="I195" s="2">
        <v>4.7058823529411764E-2</v>
      </c>
    </row>
    <row r="196" spans="1:9" x14ac:dyDescent="0.3">
      <c r="A196">
        <v>25431907</v>
      </c>
      <c r="B196">
        <v>1</v>
      </c>
      <c r="C196">
        <v>22</v>
      </c>
      <c r="D196">
        <v>5</v>
      </c>
      <c r="E196">
        <v>5</v>
      </c>
      <c r="F196">
        <v>11</v>
      </c>
      <c r="G196">
        <v>69</v>
      </c>
      <c r="H196">
        <v>113</v>
      </c>
      <c r="I196" s="2">
        <v>0.19469026548672566</v>
      </c>
    </row>
    <row r="197" spans="1:9" x14ac:dyDescent="0.3">
      <c r="A197">
        <v>25666916</v>
      </c>
      <c r="B197">
        <v>1</v>
      </c>
      <c r="C197">
        <v>10</v>
      </c>
      <c r="D197">
        <v>3</v>
      </c>
      <c r="E197">
        <v>5</v>
      </c>
      <c r="F197">
        <v>30</v>
      </c>
      <c r="G197">
        <v>72</v>
      </c>
      <c r="H197">
        <v>121</v>
      </c>
      <c r="I197" s="2">
        <v>8.2644628099173556E-2</v>
      </c>
    </row>
    <row r="198" spans="1:9" x14ac:dyDescent="0.3">
      <c r="A198">
        <v>25682647</v>
      </c>
      <c r="B198">
        <v>1</v>
      </c>
      <c r="C198">
        <v>7</v>
      </c>
      <c r="D198">
        <v>4</v>
      </c>
      <c r="E198">
        <v>32</v>
      </c>
      <c r="F198">
        <v>27</v>
      </c>
      <c r="G198">
        <v>95</v>
      </c>
      <c r="H198">
        <v>166</v>
      </c>
      <c r="I198" s="2">
        <v>4.2168674698795178E-2</v>
      </c>
    </row>
    <row r="199" spans="1:9" x14ac:dyDescent="0.3">
      <c r="A199">
        <v>25715148</v>
      </c>
      <c r="B199">
        <v>1</v>
      </c>
      <c r="C199">
        <v>12</v>
      </c>
      <c r="D199">
        <v>5</v>
      </c>
      <c r="E199">
        <v>9</v>
      </c>
      <c r="F199">
        <v>21</v>
      </c>
      <c r="G199">
        <v>55</v>
      </c>
      <c r="H199">
        <v>103</v>
      </c>
      <c r="I199" s="2">
        <v>0.11650485436893204</v>
      </c>
    </row>
    <row r="200" spans="1:9" x14ac:dyDescent="0.3">
      <c r="A200">
        <v>25844921</v>
      </c>
      <c r="B200">
        <v>1</v>
      </c>
      <c r="C200">
        <v>48</v>
      </c>
      <c r="D200">
        <v>35</v>
      </c>
      <c r="E200">
        <v>98</v>
      </c>
      <c r="F200">
        <v>271</v>
      </c>
      <c r="G200">
        <v>256</v>
      </c>
      <c r="H200">
        <v>709</v>
      </c>
      <c r="I200" s="2">
        <v>6.7700987306064886E-2</v>
      </c>
    </row>
    <row r="201" spans="1:9" x14ac:dyDescent="0.3">
      <c r="A201">
        <v>25922998</v>
      </c>
      <c r="B201">
        <v>1</v>
      </c>
      <c r="C201">
        <v>9</v>
      </c>
      <c r="D201">
        <v>14</v>
      </c>
      <c r="E201">
        <v>73</v>
      </c>
      <c r="F201">
        <v>154</v>
      </c>
      <c r="G201">
        <v>135</v>
      </c>
      <c r="H201">
        <v>386</v>
      </c>
      <c r="I201" s="2">
        <v>2.3316062176165803E-2</v>
      </c>
    </row>
    <row r="202" spans="1:9" x14ac:dyDescent="0.3">
      <c r="A202">
        <v>26085205</v>
      </c>
      <c r="B202">
        <v>1</v>
      </c>
      <c r="C202">
        <v>7</v>
      </c>
      <c r="D202">
        <v>1</v>
      </c>
      <c r="E202">
        <v>7</v>
      </c>
      <c r="F202">
        <v>10</v>
      </c>
      <c r="G202">
        <v>23</v>
      </c>
      <c r="H202">
        <v>49</v>
      </c>
      <c r="I202" s="2">
        <v>0.14285714285714285</v>
      </c>
    </row>
    <row r="203" spans="1:9" x14ac:dyDescent="0.3">
      <c r="A203">
        <v>26197953</v>
      </c>
      <c r="B203">
        <v>1</v>
      </c>
      <c r="C203">
        <v>7</v>
      </c>
      <c r="D203">
        <v>13</v>
      </c>
      <c r="E203">
        <v>103</v>
      </c>
      <c r="F203">
        <v>76</v>
      </c>
      <c r="G203">
        <v>114</v>
      </c>
      <c r="H203">
        <v>314</v>
      </c>
      <c r="I203" s="2">
        <v>2.2292993630573247E-2</v>
      </c>
    </row>
    <row r="204" spans="1:9" x14ac:dyDescent="0.3">
      <c r="A204">
        <v>26228513</v>
      </c>
      <c r="B204">
        <v>1</v>
      </c>
      <c r="C204">
        <v>16</v>
      </c>
      <c r="D204">
        <v>10</v>
      </c>
      <c r="E204">
        <v>34</v>
      </c>
      <c r="F204">
        <v>45</v>
      </c>
      <c r="G204">
        <v>96</v>
      </c>
      <c r="H204">
        <v>202</v>
      </c>
      <c r="I204" s="2">
        <v>7.9207920792079209E-2</v>
      </c>
    </row>
    <row r="205" spans="1:9" x14ac:dyDescent="0.3">
      <c r="A205">
        <v>26279987</v>
      </c>
      <c r="B205">
        <v>1</v>
      </c>
      <c r="C205">
        <v>8</v>
      </c>
      <c r="D205">
        <v>5</v>
      </c>
      <c r="E205">
        <v>21</v>
      </c>
      <c r="F205">
        <v>49</v>
      </c>
      <c r="G205">
        <v>101</v>
      </c>
      <c r="H205">
        <v>185</v>
      </c>
      <c r="I205" s="2">
        <v>4.3243243243243246E-2</v>
      </c>
    </row>
    <row r="206" spans="1:9" x14ac:dyDescent="0.3">
      <c r="A206">
        <v>26299979</v>
      </c>
      <c r="B206">
        <v>1</v>
      </c>
      <c r="C206">
        <v>7</v>
      </c>
      <c r="D206">
        <v>4</v>
      </c>
      <c r="E206">
        <v>19</v>
      </c>
      <c r="F206">
        <v>26</v>
      </c>
      <c r="G206">
        <v>73</v>
      </c>
      <c r="H206">
        <v>130</v>
      </c>
      <c r="I206" s="2">
        <v>5.3846153846153849E-2</v>
      </c>
    </row>
    <row r="207" spans="1:9" x14ac:dyDescent="0.3">
      <c r="A207">
        <v>26360792</v>
      </c>
      <c r="B207">
        <v>1</v>
      </c>
      <c r="C207">
        <v>7</v>
      </c>
      <c r="D207">
        <v>2</v>
      </c>
      <c r="E207">
        <v>8</v>
      </c>
      <c r="F207">
        <v>20</v>
      </c>
      <c r="G207">
        <v>52</v>
      </c>
      <c r="H207">
        <v>90</v>
      </c>
      <c r="I207" s="2">
        <v>7.7777777777777779E-2</v>
      </c>
    </row>
    <row r="208" spans="1:9" x14ac:dyDescent="0.3">
      <c r="A208">
        <v>26361134</v>
      </c>
      <c r="B208">
        <v>1</v>
      </c>
      <c r="C208">
        <v>7</v>
      </c>
      <c r="D208">
        <v>10</v>
      </c>
      <c r="E208">
        <v>16</v>
      </c>
      <c r="F208">
        <v>58</v>
      </c>
      <c r="G208">
        <v>122</v>
      </c>
      <c r="H208">
        <v>214</v>
      </c>
      <c r="I208" s="2">
        <v>3.2710280373831772E-2</v>
      </c>
    </row>
    <row r="209" spans="1:9" x14ac:dyDescent="0.3">
      <c r="A209">
        <v>26449443</v>
      </c>
      <c r="B209">
        <v>1</v>
      </c>
      <c r="C209">
        <v>8</v>
      </c>
      <c r="D209">
        <v>10</v>
      </c>
      <c r="E209">
        <v>4</v>
      </c>
      <c r="F209">
        <v>4</v>
      </c>
      <c r="G209">
        <v>32</v>
      </c>
      <c r="H209">
        <v>59</v>
      </c>
      <c r="I209" s="2">
        <v>0.13559322033898305</v>
      </c>
    </row>
    <row r="210" spans="1:9" x14ac:dyDescent="0.3">
      <c r="A210">
        <v>26544111</v>
      </c>
      <c r="B210">
        <v>1</v>
      </c>
      <c r="C210">
        <v>6</v>
      </c>
      <c r="D210">
        <v>11</v>
      </c>
      <c r="E210">
        <v>39</v>
      </c>
      <c r="F210">
        <v>78</v>
      </c>
      <c r="G210">
        <v>127</v>
      </c>
      <c r="H210">
        <v>262</v>
      </c>
      <c r="I210" s="2">
        <v>2.2900763358778626E-2</v>
      </c>
    </row>
    <row r="211" spans="1:9" x14ac:dyDescent="0.3">
      <c r="A211">
        <v>26692735</v>
      </c>
      <c r="B211">
        <v>1</v>
      </c>
      <c r="C211">
        <v>7</v>
      </c>
      <c r="D211">
        <v>1</v>
      </c>
      <c r="E211">
        <v>6</v>
      </c>
      <c r="F211">
        <v>12</v>
      </c>
      <c r="G211">
        <v>42</v>
      </c>
      <c r="H211">
        <v>69</v>
      </c>
      <c r="I211" s="2">
        <v>0.10144927536231885</v>
      </c>
    </row>
    <row r="212" spans="1:9" x14ac:dyDescent="0.3">
      <c r="A212">
        <v>26706411</v>
      </c>
      <c r="B212">
        <v>1</v>
      </c>
      <c r="C212">
        <v>7</v>
      </c>
      <c r="D212">
        <v>3</v>
      </c>
      <c r="E212">
        <v>17</v>
      </c>
      <c r="F212">
        <v>51</v>
      </c>
      <c r="G212">
        <v>111</v>
      </c>
      <c r="H212">
        <v>190</v>
      </c>
      <c r="I212" s="2">
        <v>3.6842105263157891E-2</v>
      </c>
    </row>
    <row r="213" spans="1:9" x14ac:dyDescent="0.3">
      <c r="A213">
        <v>26895603</v>
      </c>
      <c r="B213">
        <v>1</v>
      </c>
      <c r="C213">
        <v>7</v>
      </c>
      <c r="D213">
        <v>11</v>
      </c>
      <c r="E213">
        <v>95</v>
      </c>
      <c r="F213">
        <v>158</v>
      </c>
      <c r="G213">
        <v>148</v>
      </c>
      <c r="H213">
        <v>420</v>
      </c>
      <c r="I213" s="2">
        <v>1.6666666666666666E-2</v>
      </c>
    </row>
    <row r="214" spans="1:9" x14ac:dyDescent="0.3">
      <c r="A214">
        <v>26914458</v>
      </c>
      <c r="B214">
        <v>1</v>
      </c>
      <c r="C214">
        <v>7</v>
      </c>
      <c r="D214">
        <v>7</v>
      </c>
      <c r="E214">
        <v>18</v>
      </c>
      <c r="F214">
        <v>42</v>
      </c>
      <c r="G214">
        <v>95</v>
      </c>
      <c r="H214">
        <v>170</v>
      </c>
      <c r="I214" s="2">
        <v>4.1176470588235294E-2</v>
      </c>
    </row>
    <row r="215" spans="1:9" x14ac:dyDescent="0.3">
      <c r="A215">
        <v>26971737</v>
      </c>
      <c r="B215">
        <v>1</v>
      </c>
      <c r="C215">
        <v>8</v>
      </c>
      <c r="D215">
        <v>4</v>
      </c>
      <c r="E215">
        <v>13</v>
      </c>
      <c r="F215">
        <v>19</v>
      </c>
      <c r="G215">
        <v>129</v>
      </c>
      <c r="H215">
        <v>174</v>
      </c>
      <c r="I215" s="2">
        <v>4.5977011494252873E-2</v>
      </c>
    </row>
    <row r="216" spans="1:9" x14ac:dyDescent="0.3">
      <c r="A216">
        <v>27103232</v>
      </c>
      <c r="B216">
        <v>1</v>
      </c>
      <c r="C216">
        <v>9</v>
      </c>
      <c r="D216">
        <v>7</v>
      </c>
      <c r="E216">
        <v>45</v>
      </c>
      <c r="F216">
        <v>25</v>
      </c>
      <c r="G216">
        <v>51</v>
      </c>
      <c r="H216">
        <v>138</v>
      </c>
      <c r="I216" s="2">
        <v>6.5217391304347824E-2</v>
      </c>
    </row>
    <row r="217" spans="1:9" x14ac:dyDescent="0.3">
      <c r="A217">
        <v>27201264</v>
      </c>
      <c r="B217">
        <v>1</v>
      </c>
      <c r="C217">
        <v>8</v>
      </c>
      <c r="D217">
        <v>6</v>
      </c>
      <c r="E217">
        <v>23</v>
      </c>
      <c r="F217">
        <v>31</v>
      </c>
      <c r="G217">
        <v>141</v>
      </c>
      <c r="H217">
        <v>210</v>
      </c>
      <c r="I217" s="2">
        <v>3.8095238095238099E-2</v>
      </c>
    </row>
    <row r="218" spans="1:9" x14ac:dyDescent="0.3">
      <c r="A218">
        <v>27226051</v>
      </c>
      <c r="B218">
        <v>1</v>
      </c>
      <c r="C218">
        <v>15</v>
      </c>
      <c r="D218">
        <v>6</v>
      </c>
      <c r="E218">
        <v>30</v>
      </c>
      <c r="F218">
        <v>44</v>
      </c>
      <c r="G218">
        <v>56</v>
      </c>
      <c r="H218">
        <v>152</v>
      </c>
      <c r="I218" s="2">
        <v>9.8684210526315791E-2</v>
      </c>
    </row>
    <row r="219" spans="1:9" x14ac:dyDescent="0.3">
      <c r="A219">
        <v>27254633</v>
      </c>
      <c r="B219">
        <v>1</v>
      </c>
      <c r="C219">
        <v>7</v>
      </c>
      <c r="D219">
        <v>7</v>
      </c>
      <c r="E219">
        <v>20</v>
      </c>
      <c r="F219">
        <v>29</v>
      </c>
      <c r="G219">
        <v>40</v>
      </c>
      <c r="H219">
        <v>104</v>
      </c>
      <c r="I219" s="2">
        <v>6.7307692307692304E-2</v>
      </c>
    </row>
    <row r="220" spans="1:9" x14ac:dyDescent="0.3">
      <c r="A220">
        <v>27362231</v>
      </c>
      <c r="B220">
        <v>1</v>
      </c>
      <c r="C220">
        <v>6</v>
      </c>
      <c r="D220">
        <v>2</v>
      </c>
      <c r="E220">
        <v>14</v>
      </c>
      <c r="F220">
        <v>28</v>
      </c>
      <c r="G220">
        <v>65</v>
      </c>
      <c r="H220">
        <v>116</v>
      </c>
      <c r="I220" s="2">
        <v>5.1724137931034482E-2</v>
      </c>
    </row>
    <row r="221" spans="1:9" x14ac:dyDescent="0.3">
      <c r="A221">
        <v>27421436</v>
      </c>
      <c r="B221">
        <v>1</v>
      </c>
      <c r="C221">
        <v>6</v>
      </c>
      <c r="D221">
        <v>2</v>
      </c>
      <c r="E221">
        <v>2</v>
      </c>
      <c r="F221">
        <v>8</v>
      </c>
      <c r="G221">
        <v>32</v>
      </c>
      <c r="H221">
        <v>51</v>
      </c>
      <c r="I221" s="2">
        <v>0.11764705882352941</v>
      </c>
    </row>
    <row r="222" spans="1:9" x14ac:dyDescent="0.3">
      <c r="A222">
        <v>27499745</v>
      </c>
      <c r="B222">
        <v>1</v>
      </c>
      <c r="C222">
        <v>9</v>
      </c>
      <c r="D222">
        <v>5</v>
      </c>
      <c r="E222">
        <v>16</v>
      </c>
      <c r="F222">
        <v>42</v>
      </c>
      <c r="G222">
        <v>170</v>
      </c>
      <c r="H222">
        <v>243</v>
      </c>
      <c r="I222" s="2">
        <v>3.7037037037037035E-2</v>
      </c>
    </row>
    <row r="223" spans="1:9" x14ac:dyDescent="0.3">
      <c r="A223">
        <v>27518357</v>
      </c>
      <c r="B223">
        <v>1</v>
      </c>
      <c r="C223">
        <v>8</v>
      </c>
      <c r="D223">
        <v>3</v>
      </c>
      <c r="E223">
        <v>7</v>
      </c>
      <c r="F223">
        <v>26</v>
      </c>
      <c r="G223">
        <v>42</v>
      </c>
      <c r="H223">
        <v>87</v>
      </c>
      <c r="I223" s="2">
        <v>9.1954022988505746E-2</v>
      </c>
    </row>
    <row r="224" spans="1:9" x14ac:dyDescent="0.3">
      <c r="A224">
        <v>27543869</v>
      </c>
      <c r="B224">
        <v>1</v>
      </c>
      <c r="C224">
        <v>16</v>
      </c>
      <c r="D224">
        <v>4</v>
      </c>
      <c r="E224">
        <v>7</v>
      </c>
      <c r="F224">
        <v>4</v>
      </c>
      <c r="G224">
        <v>34</v>
      </c>
      <c r="H224">
        <v>66</v>
      </c>
      <c r="I224" s="2">
        <v>0.24242424242424243</v>
      </c>
    </row>
    <row r="225" spans="1:9" x14ac:dyDescent="0.3">
      <c r="A225">
        <v>27684392</v>
      </c>
      <c r="B225">
        <v>1</v>
      </c>
      <c r="C225">
        <v>7</v>
      </c>
      <c r="D225">
        <v>9</v>
      </c>
      <c r="E225">
        <v>21</v>
      </c>
      <c r="F225">
        <v>55</v>
      </c>
      <c r="G225">
        <v>118</v>
      </c>
      <c r="H225">
        <v>211</v>
      </c>
      <c r="I225" s="2">
        <v>3.3175355450236969E-2</v>
      </c>
    </row>
    <row r="226" spans="1:9" x14ac:dyDescent="0.3">
      <c r="A226">
        <v>27876290</v>
      </c>
      <c r="B226">
        <v>1</v>
      </c>
      <c r="C226">
        <v>6</v>
      </c>
      <c r="D226">
        <v>4</v>
      </c>
      <c r="E226">
        <v>14</v>
      </c>
      <c r="F226">
        <v>26</v>
      </c>
      <c r="G226">
        <v>65</v>
      </c>
      <c r="H226">
        <v>116</v>
      </c>
      <c r="I226" s="2">
        <v>5.1724137931034482E-2</v>
      </c>
    </row>
    <row r="227" spans="1:9" x14ac:dyDescent="0.3">
      <c r="A227">
        <v>27975619</v>
      </c>
      <c r="B227">
        <v>1</v>
      </c>
      <c r="C227">
        <v>6</v>
      </c>
      <c r="D227">
        <v>1</v>
      </c>
      <c r="E227">
        <v>6</v>
      </c>
      <c r="F227">
        <v>25</v>
      </c>
      <c r="G227">
        <v>70</v>
      </c>
      <c r="H227">
        <v>109</v>
      </c>
      <c r="I227" s="2">
        <v>5.5045871559633031E-2</v>
      </c>
    </row>
    <row r="228" spans="1:9" x14ac:dyDescent="0.3">
      <c r="A228">
        <v>28011184</v>
      </c>
      <c r="B228">
        <v>1</v>
      </c>
      <c r="C228">
        <v>13</v>
      </c>
      <c r="D228">
        <v>7</v>
      </c>
      <c r="E228">
        <v>8</v>
      </c>
      <c r="F228">
        <v>19</v>
      </c>
      <c r="G228">
        <v>62</v>
      </c>
      <c r="H228">
        <v>110</v>
      </c>
      <c r="I228" s="2">
        <v>0.11818181818181818</v>
      </c>
    </row>
    <row r="229" spans="1:9" x14ac:dyDescent="0.3">
      <c r="A229">
        <v>28111951</v>
      </c>
      <c r="B229">
        <v>1</v>
      </c>
      <c r="C229">
        <v>9</v>
      </c>
      <c r="D229">
        <v>3</v>
      </c>
      <c r="E229">
        <v>6</v>
      </c>
      <c r="F229">
        <v>21</v>
      </c>
      <c r="G229">
        <v>83</v>
      </c>
      <c r="H229">
        <v>123</v>
      </c>
      <c r="I229" s="2">
        <v>7.3170731707317069E-2</v>
      </c>
    </row>
    <row r="230" spans="1:9" x14ac:dyDescent="0.3">
      <c r="A230">
        <v>28696432</v>
      </c>
      <c r="B230">
        <v>1</v>
      </c>
      <c r="C230">
        <v>8</v>
      </c>
      <c r="D230">
        <v>6</v>
      </c>
      <c r="E230">
        <v>31</v>
      </c>
      <c r="F230">
        <v>75</v>
      </c>
      <c r="G230">
        <v>88</v>
      </c>
      <c r="H230">
        <v>209</v>
      </c>
      <c r="I230" s="2">
        <v>3.8277511961722487E-2</v>
      </c>
    </row>
    <row r="231" spans="1:9" x14ac:dyDescent="0.3">
      <c r="A231">
        <v>29011378</v>
      </c>
      <c r="B231">
        <v>1</v>
      </c>
      <c r="C231">
        <v>40</v>
      </c>
      <c r="D231">
        <v>7</v>
      </c>
      <c r="E231">
        <v>9</v>
      </c>
      <c r="F231">
        <v>13</v>
      </c>
      <c r="G231">
        <v>30</v>
      </c>
      <c r="H231">
        <v>100</v>
      </c>
      <c r="I231" s="2">
        <v>0.4</v>
      </c>
    </row>
    <row r="232" spans="1:9" x14ac:dyDescent="0.3">
      <c r="A232">
        <v>29101359</v>
      </c>
      <c r="B232">
        <v>1</v>
      </c>
      <c r="C232">
        <v>41</v>
      </c>
      <c r="D232">
        <v>30</v>
      </c>
      <c r="E232">
        <v>90</v>
      </c>
      <c r="F232">
        <v>101</v>
      </c>
      <c r="G232">
        <v>160</v>
      </c>
      <c r="H232">
        <v>423</v>
      </c>
      <c r="I232" s="2">
        <v>9.6926713947990545E-2</v>
      </c>
    </row>
    <row r="233" spans="1:9" x14ac:dyDescent="0.3">
      <c r="A233">
        <v>29518742</v>
      </c>
      <c r="B233">
        <v>1</v>
      </c>
      <c r="C233">
        <v>27</v>
      </c>
      <c r="D233">
        <v>16</v>
      </c>
      <c r="E233">
        <v>41</v>
      </c>
      <c r="F233">
        <v>25</v>
      </c>
      <c r="G233">
        <v>29</v>
      </c>
      <c r="H233">
        <v>139</v>
      </c>
      <c r="I233" s="2">
        <v>0.19424460431654678</v>
      </c>
    </row>
    <row r="234" spans="1:9" x14ac:dyDescent="0.3">
      <c r="A234">
        <v>29542811</v>
      </c>
      <c r="B234">
        <v>1</v>
      </c>
      <c r="C234">
        <v>8</v>
      </c>
      <c r="D234">
        <v>3</v>
      </c>
      <c r="E234">
        <v>12</v>
      </c>
      <c r="F234">
        <v>8</v>
      </c>
      <c r="G234">
        <v>32</v>
      </c>
      <c r="H234">
        <v>64</v>
      </c>
      <c r="I234" s="2">
        <v>0.125</v>
      </c>
    </row>
    <row r="235" spans="1:9" x14ac:dyDescent="0.3">
      <c r="A235">
        <v>29797997</v>
      </c>
      <c r="B235">
        <v>1</v>
      </c>
      <c r="C235">
        <v>9</v>
      </c>
      <c r="D235">
        <v>11</v>
      </c>
      <c r="E235">
        <v>52</v>
      </c>
      <c r="F235">
        <v>33</v>
      </c>
      <c r="G235">
        <v>33</v>
      </c>
      <c r="H235">
        <v>139</v>
      </c>
      <c r="I235" s="2">
        <v>6.4748201438848921E-2</v>
      </c>
    </row>
    <row r="236" spans="1:9" x14ac:dyDescent="0.3">
      <c r="A236">
        <v>29822222</v>
      </c>
      <c r="B236">
        <v>1</v>
      </c>
      <c r="C236">
        <v>13</v>
      </c>
      <c r="D236">
        <v>4</v>
      </c>
      <c r="E236">
        <v>8</v>
      </c>
      <c r="F236">
        <v>17</v>
      </c>
      <c r="G236">
        <v>46</v>
      </c>
      <c r="H236">
        <v>89</v>
      </c>
      <c r="I236" s="2">
        <v>0.14606741573033707</v>
      </c>
    </row>
    <row r="237" spans="1:9" x14ac:dyDescent="0.3">
      <c r="A237">
        <v>30015950</v>
      </c>
      <c r="B237">
        <v>1</v>
      </c>
      <c r="C237">
        <v>9</v>
      </c>
      <c r="D237">
        <v>8</v>
      </c>
      <c r="E237">
        <v>15</v>
      </c>
      <c r="F237">
        <v>23</v>
      </c>
      <c r="G237">
        <v>79</v>
      </c>
      <c r="H237">
        <v>135</v>
      </c>
      <c r="I237" s="2">
        <v>6.6666666666666666E-2</v>
      </c>
    </row>
    <row r="238" spans="1:9" x14ac:dyDescent="0.3">
      <c r="A238">
        <v>30062091</v>
      </c>
      <c r="B238">
        <v>1</v>
      </c>
      <c r="C238">
        <v>19</v>
      </c>
      <c r="D238">
        <v>1</v>
      </c>
      <c r="E238">
        <v>2</v>
      </c>
      <c r="F238">
        <v>6</v>
      </c>
      <c r="G238">
        <v>19</v>
      </c>
      <c r="H238">
        <v>48</v>
      </c>
      <c r="I238" s="2">
        <v>0.39583333333333331</v>
      </c>
    </row>
    <row r="239" spans="1:9" x14ac:dyDescent="0.3">
      <c r="A239">
        <v>30198937</v>
      </c>
      <c r="B239">
        <v>1</v>
      </c>
      <c r="C239">
        <v>6</v>
      </c>
      <c r="D239">
        <v>1</v>
      </c>
      <c r="E239">
        <v>3</v>
      </c>
      <c r="F239">
        <v>6</v>
      </c>
      <c r="G239">
        <v>41</v>
      </c>
      <c r="H239">
        <v>58</v>
      </c>
      <c r="I239" s="2">
        <v>0.10344827586206896</v>
      </c>
    </row>
    <row r="240" spans="1:9" x14ac:dyDescent="0.3">
      <c r="A240">
        <v>30523850</v>
      </c>
      <c r="B240">
        <v>1</v>
      </c>
      <c r="C240">
        <v>6</v>
      </c>
      <c r="D240">
        <v>4</v>
      </c>
      <c r="E240">
        <v>11</v>
      </c>
      <c r="F240">
        <v>29</v>
      </c>
      <c r="G240">
        <v>65</v>
      </c>
      <c r="H240">
        <v>116</v>
      </c>
      <c r="I240" s="2">
        <v>5.1724137931034482E-2</v>
      </c>
    </row>
    <row r="241" spans="1:9" x14ac:dyDescent="0.3">
      <c r="A241">
        <v>31047615</v>
      </c>
      <c r="B241">
        <v>1</v>
      </c>
      <c r="C241">
        <v>18</v>
      </c>
      <c r="D241">
        <v>5</v>
      </c>
      <c r="E241">
        <v>29</v>
      </c>
      <c r="F241">
        <v>126</v>
      </c>
      <c r="G241">
        <v>162</v>
      </c>
      <c r="H241">
        <v>341</v>
      </c>
      <c r="I241" s="2">
        <v>5.2785923753665691E-2</v>
      </c>
    </row>
    <row r="242" spans="1:9" x14ac:dyDescent="0.3">
      <c r="A242">
        <v>31103037</v>
      </c>
      <c r="B242">
        <v>1</v>
      </c>
      <c r="C242">
        <v>8</v>
      </c>
      <c r="D242">
        <v>8</v>
      </c>
      <c r="E242">
        <v>21</v>
      </c>
      <c r="F242">
        <v>62</v>
      </c>
      <c r="G242">
        <v>102</v>
      </c>
      <c r="H242">
        <v>202</v>
      </c>
      <c r="I242" s="2">
        <v>3.9603960396039604E-2</v>
      </c>
    </row>
    <row r="243" spans="1:9" x14ac:dyDescent="0.3">
      <c r="A243">
        <v>31283166</v>
      </c>
      <c r="B243">
        <v>1</v>
      </c>
      <c r="C243">
        <v>6</v>
      </c>
      <c r="D243">
        <v>5</v>
      </c>
      <c r="E243">
        <v>18</v>
      </c>
      <c r="F243">
        <v>40</v>
      </c>
      <c r="G243">
        <v>86</v>
      </c>
      <c r="H243">
        <v>156</v>
      </c>
      <c r="I243" s="2">
        <v>3.8461538461538464E-2</v>
      </c>
    </row>
    <row r="244" spans="1:9" x14ac:dyDescent="0.3">
      <c r="A244">
        <v>31288987</v>
      </c>
      <c r="B244">
        <v>1</v>
      </c>
      <c r="C244">
        <v>7</v>
      </c>
      <c r="D244">
        <v>3</v>
      </c>
      <c r="E244">
        <v>2</v>
      </c>
      <c r="F244">
        <v>10</v>
      </c>
      <c r="G244">
        <v>16</v>
      </c>
      <c r="H244">
        <v>39</v>
      </c>
      <c r="I244" s="2">
        <v>0.17948717948717949</v>
      </c>
    </row>
    <row r="245" spans="1:9" x14ac:dyDescent="0.3">
      <c r="A245">
        <v>31401700</v>
      </c>
      <c r="B245">
        <v>1</v>
      </c>
      <c r="C245">
        <v>7</v>
      </c>
      <c r="D245">
        <v>3</v>
      </c>
      <c r="E245">
        <v>12</v>
      </c>
      <c r="F245">
        <v>26</v>
      </c>
      <c r="G245">
        <v>91</v>
      </c>
      <c r="H245">
        <v>140</v>
      </c>
      <c r="I245" s="2">
        <v>0.05</v>
      </c>
    </row>
    <row r="246" spans="1:9" x14ac:dyDescent="0.3">
      <c r="A246">
        <v>31457113</v>
      </c>
      <c r="B246">
        <v>1</v>
      </c>
      <c r="C246">
        <v>6</v>
      </c>
      <c r="D246">
        <v>1</v>
      </c>
      <c r="E246">
        <v>30</v>
      </c>
      <c r="F246">
        <v>30</v>
      </c>
      <c r="G246">
        <v>46</v>
      </c>
      <c r="H246">
        <v>114</v>
      </c>
      <c r="I246" s="2">
        <v>5.2631578947368418E-2</v>
      </c>
    </row>
    <row r="247" spans="1:9" x14ac:dyDescent="0.3">
      <c r="A247">
        <v>31487344</v>
      </c>
      <c r="B247">
        <v>1</v>
      </c>
      <c r="C247">
        <v>9</v>
      </c>
      <c r="D247">
        <v>10</v>
      </c>
      <c r="E247">
        <v>45</v>
      </c>
      <c r="F247">
        <v>120</v>
      </c>
      <c r="G247">
        <v>103</v>
      </c>
      <c r="H247">
        <v>288</v>
      </c>
      <c r="I247" s="2">
        <v>3.125E-2</v>
      </c>
    </row>
    <row r="248" spans="1:9" x14ac:dyDescent="0.3">
      <c r="A248">
        <v>31499921</v>
      </c>
      <c r="B248">
        <v>1</v>
      </c>
      <c r="C248">
        <v>6</v>
      </c>
      <c r="D248">
        <v>2</v>
      </c>
      <c r="E248">
        <v>4</v>
      </c>
      <c r="F248">
        <v>6</v>
      </c>
      <c r="G248">
        <v>45</v>
      </c>
      <c r="H248">
        <v>64</v>
      </c>
      <c r="I248" s="2">
        <v>9.375E-2</v>
      </c>
    </row>
    <row r="249" spans="1:9" x14ac:dyDescent="0.3">
      <c r="A249">
        <v>31607923</v>
      </c>
      <c r="B249">
        <v>1</v>
      </c>
      <c r="C249">
        <v>12</v>
      </c>
      <c r="D249">
        <v>6</v>
      </c>
      <c r="E249">
        <v>21</v>
      </c>
      <c r="F249">
        <v>46</v>
      </c>
      <c r="G249">
        <v>66</v>
      </c>
      <c r="H249">
        <v>152</v>
      </c>
      <c r="I249" s="2">
        <v>7.8947368421052627E-2</v>
      </c>
    </row>
    <row r="250" spans="1:9" x14ac:dyDescent="0.3">
      <c r="A250">
        <v>31820940</v>
      </c>
      <c r="B250">
        <v>1</v>
      </c>
      <c r="C250">
        <v>14</v>
      </c>
      <c r="D250">
        <v>2</v>
      </c>
      <c r="E250">
        <v>4</v>
      </c>
      <c r="F250">
        <v>4</v>
      </c>
      <c r="G250">
        <v>46</v>
      </c>
      <c r="H250">
        <v>71</v>
      </c>
      <c r="I250" s="2">
        <v>0.19718309859154928</v>
      </c>
    </row>
    <row r="251" spans="1:9" x14ac:dyDescent="0.3">
      <c r="A251">
        <v>32016726</v>
      </c>
      <c r="B251">
        <v>1</v>
      </c>
      <c r="C251">
        <v>12</v>
      </c>
      <c r="D251">
        <v>24</v>
      </c>
      <c r="E251">
        <v>82</v>
      </c>
      <c r="F251">
        <v>60</v>
      </c>
      <c r="G251">
        <v>73</v>
      </c>
      <c r="H251">
        <v>252</v>
      </c>
      <c r="I251" s="2">
        <v>4.7619047619047616E-2</v>
      </c>
    </row>
    <row r="252" spans="1:9" x14ac:dyDescent="0.3">
      <c r="A252">
        <v>32109625</v>
      </c>
      <c r="B252">
        <v>1</v>
      </c>
      <c r="C252">
        <v>10</v>
      </c>
      <c r="D252">
        <v>2</v>
      </c>
      <c r="E252">
        <v>20</v>
      </c>
      <c r="F252">
        <v>53</v>
      </c>
      <c r="G252">
        <v>123</v>
      </c>
      <c r="H252">
        <v>209</v>
      </c>
      <c r="I252" s="2">
        <v>4.784688995215311E-2</v>
      </c>
    </row>
    <row r="253" spans="1:9" x14ac:dyDescent="0.3">
      <c r="A253">
        <v>32318884</v>
      </c>
      <c r="B253">
        <v>1</v>
      </c>
      <c r="C253">
        <v>8</v>
      </c>
      <c r="D253">
        <v>2</v>
      </c>
      <c r="E253">
        <v>0</v>
      </c>
      <c r="F253">
        <v>0</v>
      </c>
      <c r="G253">
        <v>3</v>
      </c>
      <c r="H253">
        <v>14</v>
      </c>
      <c r="I253" s="2">
        <v>0.5714285714285714</v>
      </c>
    </row>
    <row r="254" spans="1:9" x14ac:dyDescent="0.3">
      <c r="A254">
        <v>32427661</v>
      </c>
      <c r="B254">
        <v>1</v>
      </c>
      <c r="C254">
        <v>7</v>
      </c>
      <c r="D254">
        <v>11</v>
      </c>
      <c r="E254">
        <v>17</v>
      </c>
      <c r="F254">
        <v>23</v>
      </c>
      <c r="G254">
        <v>64</v>
      </c>
      <c r="H254">
        <v>123</v>
      </c>
      <c r="I254" s="2">
        <v>5.6910569105691054E-2</v>
      </c>
    </row>
    <row r="255" spans="1:9" x14ac:dyDescent="0.3">
      <c r="A255">
        <v>32799935</v>
      </c>
      <c r="B255">
        <v>1</v>
      </c>
      <c r="C255">
        <v>7</v>
      </c>
      <c r="D255">
        <v>6</v>
      </c>
      <c r="E255">
        <v>12</v>
      </c>
      <c r="F255">
        <v>17</v>
      </c>
      <c r="G255">
        <v>60</v>
      </c>
      <c r="H255">
        <v>103</v>
      </c>
      <c r="I255" s="2">
        <v>6.7961165048543687E-2</v>
      </c>
    </row>
    <row r="256" spans="1:9" x14ac:dyDescent="0.3">
      <c r="A256">
        <v>32885499</v>
      </c>
      <c r="B256">
        <v>1</v>
      </c>
      <c r="C256">
        <v>10</v>
      </c>
      <c r="D256">
        <v>7</v>
      </c>
      <c r="E256">
        <v>80</v>
      </c>
      <c r="F256">
        <v>229</v>
      </c>
      <c r="G256">
        <v>208</v>
      </c>
      <c r="H256">
        <v>535</v>
      </c>
      <c r="I256" s="2">
        <v>1.8691588785046728E-2</v>
      </c>
    </row>
    <row r="257" spans="1:9" x14ac:dyDescent="0.3">
      <c r="A257">
        <v>32918956</v>
      </c>
      <c r="B257">
        <v>1</v>
      </c>
      <c r="C257">
        <v>17</v>
      </c>
      <c r="D257">
        <v>5</v>
      </c>
      <c r="E257">
        <v>4</v>
      </c>
      <c r="F257">
        <v>7</v>
      </c>
      <c r="G257">
        <v>61</v>
      </c>
      <c r="H257">
        <v>95</v>
      </c>
      <c r="I257" s="2">
        <v>0.17894736842105263</v>
      </c>
    </row>
    <row r="258" spans="1:9" x14ac:dyDescent="0.3">
      <c r="A258">
        <v>32955884</v>
      </c>
      <c r="B258">
        <v>1</v>
      </c>
      <c r="C258">
        <v>9</v>
      </c>
      <c r="D258">
        <v>4</v>
      </c>
      <c r="E258">
        <v>7</v>
      </c>
      <c r="F258">
        <v>28</v>
      </c>
      <c r="G258">
        <v>76</v>
      </c>
      <c r="H258">
        <v>125</v>
      </c>
      <c r="I258" s="2">
        <v>7.1999999999999995E-2</v>
      </c>
    </row>
    <row r="259" spans="1:9" x14ac:dyDescent="0.3">
      <c r="A259">
        <v>32990386</v>
      </c>
      <c r="B259">
        <v>1</v>
      </c>
      <c r="C259">
        <v>9</v>
      </c>
      <c r="D259">
        <v>8</v>
      </c>
      <c r="E259">
        <v>32</v>
      </c>
      <c r="F259">
        <v>62</v>
      </c>
      <c r="G259">
        <v>79</v>
      </c>
      <c r="H259">
        <v>191</v>
      </c>
      <c r="I259" s="2">
        <v>4.712041884816754E-2</v>
      </c>
    </row>
    <row r="260" spans="1:9" x14ac:dyDescent="0.3">
      <c r="A260">
        <v>33020582</v>
      </c>
      <c r="B260">
        <v>1</v>
      </c>
      <c r="C260">
        <v>8</v>
      </c>
      <c r="D260">
        <v>11</v>
      </c>
      <c r="E260">
        <v>33</v>
      </c>
      <c r="F260">
        <v>46</v>
      </c>
      <c r="G260">
        <v>78</v>
      </c>
      <c r="H260">
        <v>177</v>
      </c>
      <c r="I260" s="2">
        <v>4.519774011299435E-2</v>
      </c>
    </row>
    <row r="261" spans="1:9" x14ac:dyDescent="0.3">
      <c r="A261">
        <v>33042147</v>
      </c>
      <c r="B261">
        <v>1</v>
      </c>
      <c r="C261">
        <v>6</v>
      </c>
      <c r="D261">
        <v>7</v>
      </c>
      <c r="E261">
        <v>112</v>
      </c>
      <c r="F261">
        <v>245</v>
      </c>
      <c r="G261">
        <v>242</v>
      </c>
      <c r="H261">
        <v>613</v>
      </c>
      <c r="I261" s="2">
        <v>9.7879282218597055E-3</v>
      </c>
    </row>
    <row r="262" spans="1:9" x14ac:dyDescent="0.3">
      <c r="A262">
        <v>33282345</v>
      </c>
      <c r="B262">
        <v>1</v>
      </c>
      <c r="C262">
        <v>10</v>
      </c>
      <c r="D262">
        <v>0</v>
      </c>
      <c r="E262">
        <v>9</v>
      </c>
      <c r="F262">
        <v>9</v>
      </c>
      <c r="G262">
        <v>60</v>
      </c>
      <c r="H262">
        <v>89</v>
      </c>
      <c r="I262" s="2">
        <v>0.11235955056179775</v>
      </c>
    </row>
    <row r="263" spans="1:9" x14ac:dyDescent="0.3">
      <c r="A263">
        <v>33413927</v>
      </c>
      <c r="B263">
        <v>1</v>
      </c>
      <c r="C263">
        <v>13</v>
      </c>
      <c r="D263">
        <v>6</v>
      </c>
      <c r="E263">
        <v>56</v>
      </c>
      <c r="F263">
        <v>115</v>
      </c>
      <c r="G263">
        <v>104</v>
      </c>
      <c r="H263">
        <v>295</v>
      </c>
      <c r="I263" s="2">
        <v>4.4067796610169491E-2</v>
      </c>
    </row>
    <row r="264" spans="1:9" x14ac:dyDescent="0.3">
      <c r="A264">
        <v>33432096</v>
      </c>
      <c r="B264">
        <v>1</v>
      </c>
      <c r="C264">
        <v>7</v>
      </c>
      <c r="D264">
        <v>5</v>
      </c>
      <c r="E264">
        <v>35</v>
      </c>
      <c r="F264">
        <v>65</v>
      </c>
      <c r="G264">
        <v>82</v>
      </c>
      <c r="H264">
        <v>195</v>
      </c>
      <c r="I264" s="2">
        <v>3.5897435897435895E-2</v>
      </c>
    </row>
    <row r="265" spans="1:9" x14ac:dyDescent="0.3">
      <c r="A265">
        <v>33435431</v>
      </c>
      <c r="B265">
        <v>1</v>
      </c>
      <c r="C265">
        <v>6</v>
      </c>
      <c r="D265">
        <v>9</v>
      </c>
      <c r="E265">
        <v>15</v>
      </c>
      <c r="F265">
        <v>20</v>
      </c>
      <c r="G265">
        <v>61</v>
      </c>
      <c r="H265">
        <v>112</v>
      </c>
      <c r="I265" s="2">
        <v>5.3571428571428568E-2</v>
      </c>
    </row>
    <row r="266" spans="1:9" x14ac:dyDescent="0.3">
      <c r="A266">
        <v>33484247</v>
      </c>
      <c r="B266">
        <v>1</v>
      </c>
      <c r="C266">
        <v>6</v>
      </c>
      <c r="D266">
        <v>3</v>
      </c>
      <c r="E266">
        <v>5</v>
      </c>
      <c r="F266">
        <v>6</v>
      </c>
      <c r="G266">
        <v>39</v>
      </c>
      <c r="H266">
        <v>60</v>
      </c>
      <c r="I266" s="2">
        <v>0.1</v>
      </c>
    </row>
    <row r="267" spans="1:9" x14ac:dyDescent="0.3">
      <c r="A267">
        <v>33499477</v>
      </c>
      <c r="B267">
        <v>1</v>
      </c>
      <c r="C267">
        <v>6</v>
      </c>
      <c r="D267">
        <v>1</v>
      </c>
      <c r="E267">
        <v>13</v>
      </c>
      <c r="F267">
        <v>7</v>
      </c>
      <c r="G267">
        <v>33</v>
      </c>
      <c r="H267">
        <v>61</v>
      </c>
      <c r="I267" s="2">
        <v>9.8360655737704916E-2</v>
      </c>
    </row>
    <row r="268" spans="1:9" x14ac:dyDescent="0.3">
      <c r="A268">
        <v>33659103</v>
      </c>
      <c r="B268">
        <v>1</v>
      </c>
      <c r="C268">
        <v>6</v>
      </c>
      <c r="D268">
        <v>12</v>
      </c>
      <c r="E268">
        <v>64</v>
      </c>
      <c r="F268">
        <v>66</v>
      </c>
      <c r="G268">
        <v>77</v>
      </c>
      <c r="H268">
        <v>226</v>
      </c>
      <c r="I268" s="2">
        <v>2.6548672566371681E-2</v>
      </c>
    </row>
    <row r="269" spans="1:9" x14ac:dyDescent="0.3">
      <c r="A269">
        <v>33749667</v>
      </c>
      <c r="B269">
        <v>1</v>
      </c>
      <c r="C269">
        <v>6</v>
      </c>
      <c r="D269">
        <v>2</v>
      </c>
      <c r="E269">
        <v>10</v>
      </c>
      <c r="F269">
        <v>32</v>
      </c>
      <c r="G269">
        <v>93</v>
      </c>
      <c r="H269">
        <v>144</v>
      </c>
      <c r="I269" s="2">
        <v>4.1666666666666664E-2</v>
      </c>
    </row>
    <row r="270" spans="1:9" x14ac:dyDescent="0.3">
      <c r="A270">
        <v>33836330</v>
      </c>
      <c r="B270">
        <v>1</v>
      </c>
      <c r="C270">
        <v>8</v>
      </c>
      <c r="D270">
        <v>3</v>
      </c>
      <c r="E270">
        <v>11</v>
      </c>
      <c r="F270">
        <v>26</v>
      </c>
      <c r="G270">
        <v>47</v>
      </c>
      <c r="H270">
        <v>96</v>
      </c>
      <c r="I270" s="2">
        <v>8.3333333333333329E-2</v>
      </c>
    </row>
    <row r="271" spans="1:9" x14ac:dyDescent="0.3">
      <c r="A271">
        <v>33922145</v>
      </c>
      <c r="B271">
        <v>1</v>
      </c>
      <c r="C271">
        <v>8</v>
      </c>
      <c r="D271">
        <v>6</v>
      </c>
      <c r="E271">
        <v>10</v>
      </c>
      <c r="F271">
        <v>9</v>
      </c>
      <c r="G271">
        <v>37</v>
      </c>
      <c r="H271">
        <v>71</v>
      </c>
      <c r="I271" s="2">
        <v>0.11267605633802817</v>
      </c>
    </row>
    <row r="272" spans="1:9" x14ac:dyDescent="0.3">
      <c r="A272">
        <v>34011778</v>
      </c>
      <c r="B272">
        <v>1</v>
      </c>
      <c r="C272">
        <v>82</v>
      </c>
      <c r="D272">
        <v>187</v>
      </c>
      <c r="E272">
        <v>789</v>
      </c>
      <c r="F272">
        <v>488</v>
      </c>
      <c r="G272">
        <v>108</v>
      </c>
      <c r="H272">
        <v>1655</v>
      </c>
      <c r="I272" s="2">
        <v>4.9546827794561932E-2</v>
      </c>
    </row>
    <row r="273" spans="1:9" x14ac:dyDescent="0.3">
      <c r="A273">
        <v>34021865</v>
      </c>
      <c r="B273">
        <v>1</v>
      </c>
      <c r="C273">
        <v>6</v>
      </c>
      <c r="D273">
        <v>7</v>
      </c>
      <c r="E273">
        <v>22</v>
      </c>
      <c r="F273">
        <v>46</v>
      </c>
      <c r="G273">
        <v>92</v>
      </c>
      <c r="H273">
        <v>174</v>
      </c>
      <c r="I273" s="2">
        <v>3.4482758620689655E-2</v>
      </c>
    </row>
    <row r="274" spans="1:9" x14ac:dyDescent="0.3">
      <c r="A274">
        <v>34032486</v>
      </c>
      <c r="B274">
        <v>1</v>
      </c>
      <c r="C274">
        <v>13</v>
      </c>
      <c r="D274">
        <v>14</v>
      </c>
      <c r="E274">
        <v>18</v>
      </c>
      <c r="F274">
        <v>25</v>
      </c>
      <c r="G274">
        <v>57</v>
      </c>
      <c r="H274">
        <v>128</v>
      </c>
      <c r="I274" s="2">
        <v>0.1015625</v>
      </c>
    </row>
    <row r="275" spans="1:9" x14ac:dyDescent="0.3">
      <c r="A275">
        <v>34231518</v>
      </c>
      <c r="B275">
        <v>1</v>
      </c>
      <c r="C275">
        <v>10</v>
      </c>
      <c r="D275">
        <v>3</v>
      </c>
      <c r="E275">
        <v>3</v>
      </c>
      <c r="F275">
        <v>9</v>
      </c>
      <c r="G275">
        <v>58</v>
      </c>
      <c r="H275">
        <v>84</v>
      </c>
      <c r="I275" s="2">
        <v>0.11904761904761904</v>
      </c>
    </row>
    <row r="276" spans="1:9" x14ac:dyDescent="0.3">
      <c r="A276">
        <v>34257016</v>
      </c>
      <c r="B276">
        <v>1</v>
      </c>
      <c r="C276">
        <v>12</v>
      </c>
      <c r="D276">
        <v>1</v>
      </c>
      <c r="E276">
        <v>22</v>
      </c>
      <c r="F276">
        <v>25</v>
      </c>
      <c r="G276">
        <v>22</v>
      </c>
      <c r="H276">
        <v>83</v>
      </c>
      <c r="I276" s="2">
        <v>0.14457831325301204</v>
      </c>
    </row>
    <row r="277" spans="1:9" x14ac:dyDescent="0.3">
      <c r="A277">
        <v>34322341</v>
      </c>
      <c r="B277">
        <v>1</v>
      </c>
      <c r="C277">
        <v>6</v>
      </c>
      <c r="D277">
        <v>12</v>
      </c>
      <c r="E277">
        <v>23</v>
      </c>
      <c r="F277">
        <v>55</v>
      </c>
      <c r="G277">
        <v>110</v>
      </c>
      <c r="H277">
        <v>207</v>
      </c>
      <c r="I277" s="2">
        <v>2.8985507246376812E-2</v>
      </c>
    </row>
    <row r="278" spans="1:9" x14ac:dyDescent="0.3">
      <c r="A278">
        <v>34421437</v>
      </c>
      <c r="B278">
        <v>1</v>
      </c>
      <c r="C278">
        <v>39</v>
      </c>
      <c r="D278">
        <v>45</v>
      </c>
      <c r="E278">
        <v>160</v>
      </c>
      <c r="F278">
        <v>160</v>
      </c>
      <c r="G278">
        <v>118</v>
      </c>
      <c r="H278">
        <v>523</v>
      </c>
      <c r="I278" s="2">
        <v>7.4569789674952203E-2</v>
      </c>
    </row>
    <row r="279" spans="1:9" x14ac:dyDescent="0.3">
      <c r="A279">
        <v>34529114</v>
      </c>
      <c r="B279">
        <v>1</v>
      </c>
      <c r="C279">
        <v>14</v>
      </c>
      <c r="D279">
        <v>4</v>
      </c>
      <c r="E279">
        <v>10</v>
      </c>
      <c r="F279">
        <v>16</v>
      </c>
      <c r="G279">
        <v>40</v>
      </c>
      <c r="H279">
        <v>85</v>
      </c>
      <c r="I279" s="2">
        <v>0.16470588235294117</v>
      </c>
    </row>
    <row r="280" spans="1:9" x14ac:dyDescent="0.3">
      <c r="A280">
        <v>34628665</v>
      </c>
      <c r="B280">
        <v>1</v>
      </c>
      <c r="C280">
        <v>8</v>
      </c>
      <c r="D280">
        <v>20</v>
      </c>
      <c r="E280">
        <v>44</v>
      </c>
      <c r="F280">
        <v>43</v>
      </c>
      <c r="G280">
        <v>90</v>
      </c>
      <c r="H280">
        <v>206</v>
      </c>
      <c r="I280" s="2">
        <v>3.8834951456310676E-2</v>
      </c>
    </row>
    <row r="281" spans="1:9" x14ac:dyDescent="0.3">
      <c r="A281">
        <v>34677899</v>
      </c>
      <c r="B281">
        <v>1</v>
      </c>
      <c r="C281">
        <v>9</v>
      </c>
      <c r="D281">
        <v>1</v>
      </c>
      <c r="E281">
        <v>2</v>
      </c>
      <c r="F281">
        <v>1</v>
      </c>
      <c r="G281">
        <v>6</v>
      </c>
      <c r="H281">
        <v>20</v>
      </c>
      <c r="I281" s="2">
        <v>0.45</v>
      </c>
    </row>
    <row r="282" spans="1:9" x14ac:dyDescent="0.3">
      <c r="A282">
        <v>34836408</v>
      </c>
      <c r="B282">
        <v>1</v>
      </c>
      <c r="C282">
        <v>20</v>
      </c>
      <c r="D282">
        <v>149</v>
      </c>
      <c r="E282">
        <v>211</v>
      </c>
      <c r="F282">
        <v>301</v>
      </c>
      <c r="G282">
        <v>156</v>
      </c>
      <c r="H282">
        <v>838</v>
      </c>
      <c r="I282" s="2">
        <v>2.386634844868735E-2</v>
      </c>
    </row>
    <row r="283" spans="1:9" x14ac:dyDescent="0.3">
      <c r="A283">
        <v>34846393</v>
      </c>
      <c r="B283">
        <v>1</v>
      </c>
      <c r="C283">
        <v>6</v>
      </c>
      <c r="D283">
        <v>2</v>
      </c>
      <c r="E283">
        <v>7</v>
      </c>
      <c r="F283">
        <v>18</v>
      </c>
      <c r="G283">
        <v>77</v>
      </c>
      <c r="H283">
        <v>111</v>
      </c>
      <c r="I283" s="2">
        <v>5.4054054054054057E-2</v>
      </c>
    </row>
    <row r="284" spans="1:9" x14ac:dyDescent="0.3">
      <c r="A284">
        <v>35040756</v>
      </c>
      <c r="B284">
        <v>1</v>
      </c>
      <c r="C284">
        <v>51</v>
      </c>
      <c r="D284">
        <v>21</v>
      </c>
      <c r="E284">
        <v>8</v>
      </c>
      <c r="F284">
        <v>15</v>
      </c>
      <c r="G284">
        <v>99</v>
      </c>
      <c r="H284">
        <v>195</v>
      </c>
      <c r="I284" s="2">
        <v>0.26153846153846155</v>
      </c>
    </row>
    <row r="285" spans="1:9" x14ac:dyDescent="0.3">
      <c r="A285">
        <v>35077778</v>
      </c>
      <c r="B285">
        <v>1</v>
      </c>
      <c r="C285">
        <v>12</v>
      </c>
      <c r="D285">
        <v>1</v>
      </c>
      <c r="E285">
        <v>3</v>
      </c>
      <c r="F285">
        <v>12</v>
      </c>
      <c r="G285">
        <v>37</v>
      </c>
      <c r="H285">
        <v>66</v>
      </c>
      <c r="I285" s="2">
        <v>0.18181818181818182</v>
      </c>
    </row>
    <row r="286" spans="1:9" x14ac:dyDescent="0.3">
      <c r="A286">
        <v>35447765</v>
      </c>
      <c r="B286">
        <v>1</v>
      </c>
      <c r="C286">
        <v>14</v>
      </c>
      <c r="D286">
        <v>28</v>
      </c>
      <c r="E286">
        <v>126</v>
      </c>
      <c r="F286">
        <v>250</v>
      </c>
      <c r="G286">
        <v>137</v>
      </c>
      <c r="H286">
        <v>556</v>
      </c>
      <c r="I286" s="2">
        <v>2.5179856115107913E-2</v>
      </c>
    </row>
    <row r="287" spans="1:9" x14ac:dyDescent="0.3">
      <c r="A287">
        <v>35507976</v>
      </c>
      <c r="B287">
        <v>1</v>
      </c>
      <c r="C287">
        <v>10</v>
      </c>
      <c r="D287">
        <v>9</v>
      </c>
      <c r="E287">
        <v>9</v>
      </c>
      <c r="F287">
        <v>23</v>
      </c>
      <c r="G287">
        <v>90</v>
      </c>
      <c r="H287">
        <v>142</v>
      </c>
      <c r="I287" s="2">
        <v>7.0422535211267609E-2</v>
      </c>
    </row>
    <row r="288" spans="1:9" x14ac:dyDescent="0.3">
      <c r="A288">
        <v>35574205</v>
      </c>
      <c r="B288">
        <v>1</v>
      </c>
      <c r="C288">
        <v>11</v>
      </c>
      <c r="D288">
        <v>5</v>
      </c>
      <c r="E288">
        <v>24</v>
      </c>
      <c r="F288">
        <v>78</v>
      </c>
      <c r="G288">
        <v>100</v>
      </c>
      <c r="H288">
        <v>219</v>
      </c>
      <c r="I288" s="2">
        <v>5.0228310502283102E-2</v>
      </c>
    </row>
    <row r="289" spans="1:9" x14ac:dyDescent="0.3">
      <c r="A289">
        <v>35625825</v>
      </c>
      <c r="B289">
        <v>1</v>
      </c>
      <c r="C289">
        <v>11</v>
      </c>
      <c r="D289">
        <v>21</v>
      </c>
      <c r="E289">
        <v>57</v>
      </c>
      <c r="F289">
        <v>106</v>
      </c>
      <c r="G289">
        <v>116</v>
      </c>
      <c r="H289">
        <v>312</v>
      </c>
      <c r="I289" s="2">
        <v>3.5256410256410256E-2</v>
      </c>
    </row>
    <row r="290" spans="1:9" x14ac:dyDescent="0.3">
      <c r="A290">
        <v>35809012</v>
      </c>
      <c r="B290">
        <v>1</v>
      </c>
      <c r="C290">
        <v>7</v>
      </c>
      <c r="D290">
        <v>2</v>
      </c>
      <c r="E290">
        <v>4</v>
      </c>
      <c r="F290">
        <v>21</v>
      </c>
      <c r="G290">
        <v>75</v>
      </c>
      <c r="H290">
        <v>110</v>
      </c>
      <c r="I290" s="2">
        <v>6.363636363636363E-2</v>
      </c>
    </row>
    <row r="291" spans="1:9" x14ac:dyDescent="0.3">
      <c r="A291">
        <v>35809637</v>
      </c>
      <c r="B291">
        <v>1</v>
      </c>
      <c r="C291">
        <v>31</v>
      </c>
      <c r="D291">
        <v>4</v>
      </c>
      <c r="E291">
        <v>4</v>
      </c>
      <c r="F291">
        <v>13</v>
      </c>
      <c r="G291">
        <v>104</v>
      </c>
      <c r="H291">
        <v>157</v>
      </c>
      <c r="I291" s="2">
        <v>0.19745222929936307</v>
      </c>
    </row>
    <row r="292" spans="1:9" x14ac:dyDescent="0.3">
      <c r="A292">
        <v>35815135</v>
      </c>
      <c r="B292">
        <v>1</v>
      </c>
      <c r="C292">
        <v>13</v>
      </c>
      <c r="D292">
        <v>4</v>
      </c>
      <c r="E292">
        <v>41</v>
      </c>
      <c r="F292">
        <v>158</v>
      </c>
      <c r="G292">
        <v>83</v>
      </c>
      <c r="H292">
        <v>300</v>
      </c>
      <c r="I292" s="2">
        <v>4.3333333333333335E-2</v>
      </c>
    </row>
    <row r="293" spans="1:9" x14ac:dyDescent="0.3">
      <c r="A293">
        <v>35826990</v>
      </c>
      <c r="B293">
        <v>1</v>
      </c>
      <c r="C293">
        <v>12</v>
      </c>
      <c r="D293">
        <v>2</v>
      </c>
      <c r="E293">
        <v>5</v>
      </c>
      <c r="F293">
        <v>10</v>
      </c>
      <c r="G293">
        <v>58</v>
      </c>
      <c r="H293">
        <v>88</v>
      </c>
      <c r="I293" s="2">
        <v>0.13636363636363635</v>
      </c>
    </row>
    <row r="294" spans="1:9" x14ac:dyDescent="0.3">
      <c r="A294">
        <v>36156569</v>
      </c>
      <c r="B294">
        <v>1</v>
      </c>
      <c r="C294">
        <v>8</v>
      </c>
      <c r="D294">
        <v>5</v>
      </c>
      <c r="E294">
        <v>10</v>
      </c>
      <c r="F294">
        <v>33</v>
      </c>
      <c r="G294">
        <v>33</v>
      </c>
      <c r="H294">
        <v>90</v>
      </c>
      <c r="I294" s="2">
        <v>8.8888888888888892E-2</v>
      </c>
    </row>
    <row r="295" spans="1:9" x14ac:dyDescent="0.3">
      <c r="A295">
        <v>36229502</v>
      </c>
      <c r="B295">
        <v>1</v>
      </c>
      <c r="C295">
        <v>26</v>
      </c>
      <c r="D295">
        <v>12</v>
      </c>
      <c r="E295">
        <v>8</v>
      </c>
      <c r="F295">
        <v>5</v>
      </c>
      <c r="G295">
        <v>18</v>
      </c>
      <c r="H295">
        <v>70</v>
      </c>
      <c r="I295" s="2">
        <v>0.37142857142857144</v>
      </c>
    </row>
    <row r="296" spans="1:9" x14ac:dyDescent="0.3">
      <c r="A296">
        <v>36304442</v>
      </c>
      <c r="B296">
        <v>1</v>
      </c>
      <c r="C296">
        <v>11</v>
      </c>
      <c r="D296">
        <v>15</v>
      </c>
      <c r="E296">
        <v>42</v>
      </c>
      <c r="F296">
        <v>118</v>
      </c>
      <c r="G296">
        <v>163</v>
      </c>
      <c r="H296">
        <v>350</v>
      </c>
      <c r="I296" s="2">
        <v>3.1428571428571431E-2</v>
      </c>
    </row>
    <row r="297" spans="1:9" x14ac:dyDescent="0.3">
      <c r="A297">
        <v>36326604</v>
      </c>
      <c r="B297">
        <v>1</v>
      </c>
      <c r="C297">
        <v>7</v>
      </c>
      <c r="D297">
        <v>7</v>
      </c>
      <c r="E297">
        <v>26</v>
      </c>
      <c r="F297">
        <v>55</v>
      </c>
      <c r="G297">
        <v>106</v>
      </c>
      <c r="H297">
        <v>202</v>
      </c>
      <c r="I297" s="2">
        <v>3.4653465346534656E-2</v>
      </c>
    </row>
    <row r="298" spans="1:9" x14ac:dyDescent="0.3">
      <c r="A298">
        <v>36502701</v>
      </c>
      <c r="B298">
        <v>1</v>
      </c>
      <c r="C298">
        <v>8</v>
      </c>
      <c r="D298">
        <v>9</v>
      </c>
      <c r="E298">
        <v>17</v>
      </c>
      <c r="F298">
        <v>61</v>
      </c>
      <c r="G298">
        <v>112</v>
      </c>
      <c r="H298">
        <v>208</v>
      </c>
      <c r="I298" s="2">
        <v>3.8461538461538464E-2</v>
      </c>
    </row>
    <row r="299" spans="1:9" x14ac:dyDescent="0.3">
      <c r="A299">
        <v>36924518</v>
      </c>
      <c r="B299">
        <v>1</v>
      </c>
      <c r="C299">
        <v>6</v>
      </c>
      <c r="D299">
        <v>4</v>
      </c>
      <c r="E299">
        <v>9</v>
      </c>
      <c r="F299">
        <v>22</v>
      </c>
      <c r="G299">
        <v>41</v>
      </c>
      <c r="H299">
        <v>83</v>
      </c>
      <c r="I299" s="2">
        <v>7.2289156626506021E-2</v>
      </c>
    </row>
    <row r="300" spans="1:9" x14ac:dyDescent="0.3">
      <c r="A300">
        <v>36958119</v>
      </c>
      <c r="B300">
        <v>1</v>
      </c>
      <c r="C300">
        <v>7</v>
      </c>
      <c r="D300">
        <v>4</v>
      </c>
      <c r="E300">
        <v>18</v>
      </c>
      <c r="F300">
        <v>29</v>
      </c>
      <c r="G300">
        <v>107</v>
      </c>
      <c r="H300">
        <v>166</v>
      </c>
      <c r="I300" s="2">
        <v>4.2168674698795178E-2</v>
      </c>
    </row>
    <row r="301" spans="1:9" x14ac:dyDescent="0.3">
      <c r="A301">
        <v>37157076</v>
      </c>
      <c r="B301">
        <v>1</v>
      </c>
      <c r="C301">
        <v>8</v>
      </c>
      <c r="D301">
        <v>10</v>
      </c>
      <c r="E301">
        <v>28</v>
      </c>
      <c r="F301">
        <v>58</v>
      </c>
      <c r="G301">
        <v>85</v>
      </c>
      <c r="H301">
        <v>190</v>
      </c>
      <c r="I301" s="2">
        <v>4.2105263157894736E-2</v>
      </c>
    </row>
    <row r="302" spans="1:9" x14ac:dyDescent="0.3">
      <c r="A302">
        <v>37738483</v>
      </c>
      <c r="B302">
        <v>1</v>
      </c>
      <c r="C302">
        <v>11</v>
      </c>
      <c r="D302">
        <v>7</v>
      </c>
      <c r="E302">
        <v>22</v>
      </c>
      <c r="F302">
        <v>69</v>
      </c>
      <c r="G302">
        <v>95</v>
      </c>
      <c r="H302">
        <v>205</v>
      </c>
      <c r="I302" s="2">
        <v>5.3658536585365853E-2</v>
      </c>
    </row>
    <row r="303" spans="1:9" x14ac:dyDescent="0.3">
      <c r="A303">
        <v>37857844</v>
      </c>
      <c r="B303">
        <v>1</v>
      </c>
      <c r="C303">
        <v>6</v>
      </c>
      <c r="D303">
        <v>4</v>
      </c>
      <c r="E303">
        <v>8</v>
      </c>
      <c r="F303">
        <v>8</v>
      </c>
      <c r="G303">
        <v>12</v>
      </c>
      <c r="H303">
        <v>39</v>
      </c>
      <c r="I303" s="2">
        <v>0.15384615384615385</v>
      </c>
    </row>
    <row r="304" spans="1:9" x14ac:dyDescent="0.3">
      <c r="A304">
        <v>38057369</v>
      </c>
      <c r="B304">
        <v>1</v>
      </c>
      <c r="C304">
        <v>6</v>
      </c>
      <c r="D304">
        <v>9</v>
      </c>
      <c r="E304">
        <v>13</v>
      </c>
      <c r="F304">
        <v>36</v>
      </c>
      <c r="G304">
        <v>67</v>
      </c>
      <c r="H304">
        <v>132</v>
      </c>
      <c r="I304" s="2">
        <v>4.5454545454545456E-2</v>
      </c>
    </row>
    <row r="305" spans="1:9" x14ac:dyDescent="0.3">
      <c r="A305">
        <v>38059070</v>
      </c>
      <c r="B305">
        <v>1</v>
      </c>
      <c r="C305">
        <v>12</v>
      </c>
      <c r="D305">
        <v>2</v>
      </c>
      <c r="E305">
        <v>6</v>
      </c>
      <c r="F305">
        <v>11</v>
      </c>
      <c r="G305">
        <v>65</v>
      </c>
      <c r="H305">
        <v>97</v>
      </c>
      <c r="I305" s="2">
        <v>0.12371134020618557</v>
      </c>
    </row>
    <row r="306" spans="1:9" x14ac:dyDescent="0.3">
      <c r="A306">
        <v>38242189</v>
      </c>
      <c r="B306">
        <v>1</v>
      </c>
      <c r="C306">
        <v>7</v>
      </c>
      <c r="D306">
        <v>11</v>
      </c>
      <c r="E306">
        <v>9</v>
      </c>
      <c r="F306">
        <v>23</v>
      </c>
      <c r="G306">
        <v>68</v>
      </c>
      <c r="H306">
        <v>119</v>
      </c>
      <c r="I306" s="2">
        <v>5.8823529411764705E-2</v>
      </c>
    </row>
    <row r="307" spans="1:9" x14ac:dyDescent="0.3">
      <c r="A307">
        <v>38266017</v>
      </c>
      <c r="B307">
        <v>1</v>
      </c>
      <c r="C307">
        <v>10</v>
      </c>
      <c r="D307">
        <v>4</v>
      </c>
      <c r="E307">
        <v>36</v>
      </c>
      <c r="F307">
        <v>23</v>
      </c>
      <c r="G307">
        <v>37</v>
      </c>
      <c r="H307">
        <v>111</v>
      </c>
      <c r="I307" s="2">
        <v>9.0090090090090086E-2</v>
      </c>
    </row>
    <row r="308" spans="1:9" x14ac:dyDescent="0.3">
      <c r="A308">
        <v>38354359</v>
      </c>
      <c r="B308">
        <v>1</v>
      </c>
      <c r="C308">
        <v>7</v>
      </c>
      <c r="D308">
        <v>11</v>
      </c>
      <c r="E308">
        <v>52</v>
      </c>
      <c r="F308">
        <v>73</v>
      </c>
      <c r="G308">
        <v>113</v>
      </c>
      <c r="H308">
        <v>257</v>
      </c>
      <c r="I308" s="2">
        <v>2.7237354085603113E-2</v>
      </c>
    </row>
    <row r="309" spans="1:9" x14ac:dyDescent="0.3">
      <c r="A309">
        <v>38385214</v>
      </c>
      <c r="B309">
        <v>1</v>
      </c>
      <c r="C309">
        <v>7</v>
      </c>
      <c r="D309">
        <v>4</v>
      </c>
      <c r="E309">
        <v>31</v>
      </c>
      <c r="F309">
        <v>49</v>
      </c>
      <c r="G309">
        <v>90</v>
      </c>
      <c r="H309">
        <v>182</v>
      </c>
      <c r="I309" s="2">
        <v>3.8461538461538464E-2</v>
      </c>
    </row>
    <row r="310" spans="1:9" x14ac:dyDescent="0.3">
      <c r="A310">
        <v>38528318</v>
      </c>
      <c r="B310">
        <v>1</v>
      </c>
      <c r="C310">
        <v>7</v>
      </c>
      <c r="D310">
        <v>8</v>
      </c>
      <c r="E310">
        <v>31</v>
      </c>
      <c r="F310">
        <v>29</v>
      </c>
      <c r="G310">
        <v>48</v>
      </c>
      <c r="H310">
        <v>124</v>
      </c>
      <c r="I310" s="2">
        <v>5.6451612903225805E-2</v>
      </c>
    </row>
    <row r="311" spans="1:9" x14ac:dyDescent="0.3">
      <c r="A311">
        <v>38779684</v>
      </c>
      <c r="B311">
        <v>1</v>
      </c>
      <c r="C311">
        <v>13</v>
      </c>
      <c r="D311">
        <v>8</v>
      </c>
      <c r="E311">
        <v>3</v>
      </c>
      <c r="F311">
        <v>2</v>
      </c>
      <c r="G311">
        <v>27</v>
      </c>
      <c r="H311">
        <v>54</v>
      </c>
      <c r="I311" s="2">
        <v>0.24074074074074073</v>
      </c>
    </row>
    <row r="312" spans="1:9" x14ac:dyDescent="0.3">
      <c r="A312">
        <v>38908529</v>
      </c>
      <c r="B312">
        <v>1</v>
      </c>
      <c r="C312">
        <v>9</v>
      </c>
      <c r="D312">
        <v>27</v>
      </c>
      <c r="E312">
        <v>17</v>
      </c>
      <c r="F312">
        <v>4</v>
      </c>
      <c r="G312">
        <v>62</v>
      </c>
      <c r="H312">
        <v>120</v>
      </c>
      <c r="I312" s="2">
        <v>7.4999999999999997E-2</v>
      </c>
    </row>
    <row r="313" spans="1:9" x14ac:dyDescent="0.3">
      <c r="A313">
        <v>39235265</v>
      </c>
      <c r="B313">
        <v>1</v>
      </c>
      <c r="C313">
        <v>20</v>
      </c>
      <c r="D313">
        <v>5</v>
      </c>
      <c r="E313">
        <v>5</v>
      </c>
      <c r="F313">
        <v>9</v>
      </c>
      <c r="G313">
        <v>54</v>
      </c>
      <c r="H313">
        <v>94</v>
      </c>
      <c r="I313" s="2">
        <v>0.21276595744680851</v>
      </c>
    </row>
    <row r="314" spans="1:9" x14ac:dyDescent="0.3">
      <c r="A314">
        <v>39313914</v>
      </c>
      <c r="B314">
        <v>1</v>
      </c>
      <c r="C314">
        <v>7</v>
      </c>
      <c r="D314">
        <v>1</v>
      </c>
      <c r="E314">
        <v>5</v>
      </c>
      <c r="F314">
        <v>8</v>
      </c>
      <c r="G314">
        <v>57</v>
      </c>
      <c r="H314">
        <v>79</v>
      </c>
      <c r="I314" s="2">
        <v>8.8607594936708861E-2</v>
      </c>
    </row>
    <row r="315" spans="1:9" x14ac:dyDescent="0.3">
      <c r="A315">
        <v>39717749</v>
      </c>
      <c r="B315">
        <v>1</v>
      </c>
      <c r="C315">
        <v>13</v>
      </c>
      <c r="D315">
        <v>5</v>
      </c>
      <c r="E315">
        <v>2</v>
      </c>
      <c r="F315">
        <v>4</v>
      </c>
      <c r="G315">
        <v>18</v>
      </c>
      <c r="H315">
        <v>43</v>
      </c>
      <c r="I315" s="2">
        <v>0.30232558139534882</v>
      </c>
    </row>
    <row r="316" spans="1:9" x14ac:dyDescent="0.3">
      <c r="A316">
        <v>39724086</v>
      </c>
      <c r="B316">
        <v>1</v>
      </c>
      <c r="C316">
        <v>12</v>
      </c>
      <c r="D316">
        <v>10</v>
      </c>
      <c r="E316">
        <v>6</v>
      </c>
      <c r="F316">
        <v>3</v>
      </c>
      <c r="G316">
        <v>18</v>
      </c>
      <c r="H316">
        <v>50</v>
      </c>
      <c r="I316" s="2">
        <v>0.24</v>
      </c>
    </row>
    <row r="317" spans="1:9" x14ac:dyDescent="0.3">
      <c r="A317">
        <v>39810382</v>
      </c>
      <c r="B317">
        <v>1</v>
      </c>
      <c r="C317">
        <v>27</v>
      </c>
      <c r="D317">
        <v>7</v>
      </c>
      <c r="E317">
        <v>17</v>
      </c>
      <c r="F317">
        <v>62</v>
      </c>
      <c r="G317">
        <v>108</v>
      </c>
      <c r="H317">
        <v>222</v>
      </c>
      <c r="I317" s="2">
        <v>0.12162162162162163</v>
      </c>
    </row>
    <row r="318" spans="1:9" x14ac:dyDescent="0.3">
      <c r="A318">
        <v>40028858</v>
      </c>
      <c r="B318">
        <v>1</v>
      </c>
      <c r="C318">
        <v>16</v>
      </c>
      <c r="D318">
        <v>6</v>
      </c>
      <c r="E318">
        <v>11</v>
      </c>
      <c r="F318">
        <v>24</v>
      </c>
      <c r="G318">
        <v>55</v>
      </c>
      <c r="H318">
        <v>113</v>
      </c>
      <c r="I318" s="2">
        <v>0.1415929203539823</v>
      </c>
    </row>
    <row r="319" spans="1:9" x14ac:dyDescent="0.3">
      <c r="A319">
        <v>40172229</v>
      </c>
      <c r="B319">
        <v>1</v>
      </c>
      <c r="C319">
        <v>10</v>
      </c>
      <c r="D319">
        <v>13</v>
      </c>
      <c r="E319">
        <v>66</v>
      </c>
      <c r="F319">
        <v>106</v>
      </c>
      <c r="G319">
        <v>111</v>
      </c>
      <c r="H319">
        <v>307</v>
      </c>
      <c r="I319" s="2">
        <v>3.2573289902280131E-2</v>
      </c>
    </row>
    <row r="320" spans="1:9" x14ac:dyDescent="0.3">
      <c r="A320">
        <v>40201158</v>
      </c>
      <c r="B320">
        <v>1</v>
      </c>
      <c r="C320">
        <v>14</v>
      </c>
      <c r="D320">
        <v>4</v>
      </c>
      <c r="E320">
        <v>5</v>
      </c>
      <c r="F320">
        <v>18</v>
      </c>
      <c r="G320">
        <v>34</v>
      </c>
      <c r="H320">
        <v>76</v>
      </c>
      <c r="I320" s="2">
        <v>0.18421052631578946</v>
      </c>
    </row>
    <row r="321" spans="1:9" x14ac:dyDescent="0.3">
      <c r="A321">
        <v>40592447</v>
      </c>
      <c r="B321">
        <v>1</v>
      </c>
      <c r="C321">
        <v>6</v>
      </c>
      <c r="D321">
        <v>3</v>
      </c>
      <c r="E321">
        <v>13</v>
      </c>
      <c r="F321">
        <v>54</v>
      </c>
      <c r="G321">
        <v>95</v>
      </c>
      <c r="H321">
        <v>172</v>
      </c>
      <c r="I321" s="2">
        <v>3.4883720930232558E-2</v>
      </c>
    </row>
    <row r="322" spans="1:9" x14ac:dyDescent="0.3">
      <c r="A322">
        <v>40598981</v>
      </c>
      <c r="B322">
        <v>1</v>
      </c>
      <c r="C322">
        <v>6</v>
      </c>
      <c r="D322">
        <v>2</v>
      </c>
      <c r="E322">
        <v>4</v>
      </c>
      <c r="F322">
        <v>5</v>
      </c>
      <c r="G322">
        <v>27</v>
      </c>
      <c r="H322">
        <v>45</v>
      </c>
      <c r="I322" s="2">
        <v>0.13333333333333333</v>
      </c>
    </row>
    <row r="323" spans="1:9" x14ac:dyDescent="0.3">
      <c r="A323">
        <v>40611363</v>
      </c>
      <c r="B323">
        <v>1</v>
      </c>
      <c r="C323">
        <v>8</v>
      </c>
      <c r="D323">
        <v>9</v>
      </c>
      <c r="E323">
        <v>14</v>
      </c>
      <c r="F323">
        <v>29</v>
      </c>
      <c r="G323">
        <v>66</v>
      </c>
      <c r="H323">
        <v>127</v>
      </c>
      <c r="I323" s="2">
        <v>6.2992125984251968E-2</v>
      </c>
    </row>
    <row r="324" spans="1:9" x14ac:dyDescent="0.3">
      <c r="A324">
        <v>40653894</v>
      </c>
      <c r="B324">
        <v>1</v>
      </c>
      <c r="C324">
        <v>18</v>
      </c>
      <c r="D324">
        <v>10</v>
      </c>
      <c r="E324">
        <v>27</v>
      </c>
      <c r="F324">
        <v>8</v>
      </c>
      <c r="G324">
        <v>36</v>
      </c>
      <c r="H324">
        <v>100</v>
      </c>
      <c r="I324" s="2">
        <v>0.18</v>
      </c>
    </row>
    <row r="325" spans="1:9" x14ac:dyDescent="0.3">
      <c r="A325">
        <v>40721477</v>
      </c>
      <c r="B325">
        <v>1</v>
      </c>
      <c r="C325">
        <v>17</v>
      </c>
      <c r="D325">
        <v>16</v>
      </c>
      <c r="E325">
        <v>58</v>
      </c>
      <c r="F325">
        <v>89</v>
      </c>
      <c r="G325">
        <v>114</v>
      </c>
      <c r="H325">
        <v>295</v>
      </c>
      <c r="I325" s="2">
        <v>5.7627118644067797E-2</v>
      </c>
    </row>
    <row r="326" spans="1:9" x14ac:dyDescent="0.3">
      <c r="A326">
        <v>40887093</v>
      </c>
      <c r="B326">
        <v>1</v>
      </c>
      <c r="C326">
        <v>7</v>
      </c>
      <c r="D326">
        <v>1</v>
      </c>
      <c r="E326">
        <v>3</v>
      </c>
      <c r="F326">
        <v>7</v>
      </c>
      <c r="G326">
        <v>19</v>
      </c>
      <c r="H326">
        <v>38</v>
      </c>
      <c r="I326" s="2">
        <v>0.18421052631578946</v>
      </c>
    </row>
    <row r="327" spans="1:9" x14ac:dyDescent="0.3">
      <c r="A327">
        <v>41001492</v>
      </c>
      <c r="B327">
        <v>1</v>
      </c>
      <c r="C327">
        <v>7</v>
      </c>
      <c r="D327">
        <v>8</v>
      </c>
      <c r="E327">
        <v>39</v>
      </c>
      <c r="F327">
        <v>78</v>
      </c>
      <c r="G327">
        <v>120</v>
      </c>
      <c r="H327">
        <v>253</v>
      </c>
      <c r="I327" s="2">
        <v>2.766798418972332E-2</v>
      </c>
    </row>
    <row r="328" spans="1:9" x14ac:dyDescent="0.3">
      <c r="A328">
        <v>41505206</v>
      </c>
      <c r="B328">
        <v>1</v>
      </c>
      <c r="C328">
        <v>11</v>
      </c>
      <c r="D328">
        <v>2</v>
      </c>
      <c r="E328">
        <v>5</v>
      </c>
      <c r="F328">
        <v>14</v>
      </c>
      <c r="G328">
        <v>95</v>
      </c>
      <c r="H328">
        <v>128</v>
      </c>
      <c r="I328" s="2">
        <v>8.59375E-2</v>
      </c>
    </row>
    <row r="329" spans="1:9" x14ac:dyDescent="0.3">
      <c r="A329">
        <v>41992415</v>
      </c>
      <c r="B329">
        <v>1</v>
      </c>
      <c r="C329">
        <v>14</v>
      </c>
      <c r="D329">
        <v>10</v>
      </c>
      <c r="E329">
        <v>47</v>
      </c>
      <c r="F329">
        <v>50</v>
      </c>
      <c r="G329">
        <v>111</v>
      </c>
      <c r="H329">
        <v>233</v>
      </c>
      <c r="I329" s="2">
        <v>6.0085836909871244E-2</v>
      </c>
    </row>
    <row r="330" spans="1:9" x14ac:dyDescent="0.3">
      <c r="A330">
        <v>42075329</v>
      </c>
      <c r="B330">
        <v>1</v>
      </c>
      <c r="C330">
        <v>11</v>
      </c>
      <c r="D330">
        <v>9</v>
      </c>
      <c r="E330">
        <v>26</v>
      </c>
      <c r="F330">
        <v>28</v>
      </c>
      <c r="G330">
        <v>33</v>
      </c>
      <c r="H330">
        <v>108</v>
      </c>
      <c r="I330" s="2">
        <v>0.10185185185185185</v>
      </c>
    </row>
    <row r="331" spans="1:9" x14ac:dyDescent="0.3">
      <c r="A331">
        <v>42263391</v>
      </c>
      <c r="B331">
        <v>1</v>
      </c>
      <c r="C331">
        <v>9</v>
      </c>
      <c r="D331">
        <v>2</v>
      </c>
      <c r="E331">
        <v>7</v>
      </c>
      <c r="F331">
        <v>18</v>
      </c>
      <c r="G331">
        <v>55</v>
      </c>
      <c r="H331">
        <v>92</v>
      </c>
      <c r="I331" s="2">
        <v>9.7826086956521743E-2</v>
      </c>
    </row>
    <row r="332" spans="1:9" x14ac:dyDescent="0.3">
      <c r="A332">
        <v>42372845</v>
      </c>
      <c r="B332">
        <v>1</v>
      </c>
      <c r="C332">
        <v>19</v>
      </c>
      <c r="D332">
        <v>10</v>
      </c>
      <c r="E332">
        <v>7</v>
      </c>
      <c r="F332">
        <v>0</v>
      </c>
      <c r="G332">
        <v>0</v>
      </c>
      <c r="H332">
        <v>37</v>
      </c>
      <c r="I332" s="2">
        <v>0.51351351351351349</v>
      </c>
    </row>
    <row r="333" spans="1:9" x14ac:dyDescent="0.3">
      <c r="A333">
        <v>42381392</v>
      </c>
      <c r="B333">
        <v>1</v>
      </c>
      <c r="C333">
        <v>86</v>
      </c>
      <c r="D333">
        <v>21</v>
      </c>
      <c r="E333">
        <v>6</v>
      </c>
      <c r="F333">
        <v>0</v>
      </c>
      <c r="G333">
        <v>1</v>
      </c>
      <c r="H333">
        <v>115</v>
      </c>
      <c r="I333" s="2">
        <v>0.74782608695652175</v>
      </c>
    </row>
    <row r="334" spans="1:9" x14ac:dyDescent="0.3">
      <c r="A334">
        <v>42406507</v>
      </c>
      <c r="B334">
        <v>1</v>
      </c>
      <c r="C334">
        <v>184</v>
      </c>
      <c r="D334">
        <v>46</v>
      </c>
      <c r="E334">
        <v>27</v>
      </c>
      <c r="F334">
        <v>1</v>
      </c>
      <c r="G334">
        <v>3</v>
      </c>
      <c r="H334">
        <v>262</v>
      </c>
      <c r="I334" s="2">
        <v>0.70229007633587781</v>
      </c>
    </row>
    <row r="335" spans="1:9" x14ac:dyDescent="0.3">
      <c r="A335">
        <v>42423052</v>
      </c>
      <c r="B335">
        <v>1</v>
      </c>
      <c r="C335">
        <v>6</v>
      </c>
      <c r="D335">
        <v>7</v>
      </c>
      <c r="E335">
        <v>38</v>
      </c>
      <c r="F335">
        <v>62</v>
      </c>
      <c r="G335">
        <v>97</v>
      </c>
      <c r="H335">
        <v>211</v>
      </c>
      <c r="I335" s="2">
        <v>2.843601895734597E-2</v>
      </c>
    </row>
    <row r="336" spans="1:9" x14ac:dyDescent="0.3">
      <c r="A336">
        <v>42426592</v>
      </c>
      <c r="B336">
        <v>1</v>
      </c>
      <c r="C336">
        <v>128</v>
      </c>
      <c r="D336">
        <v>54</v>
      </c>
      <c r="E336">
        <v>19</v>
      </c>
      <c r="F336">
        <v>1</v>
      </c>
      <c r="G336">
        <v>1</v>
      </c>
      <c r="H336">
        <v>204</v>
      </c>
      <c r="I336" s="2">
        <v>0.62745098039215685</v>
      </c>
    </row>
    <row r="337" spans="1:9" x14ac:dyDescent="0.3">
      <c r="A337">
        <v>42426641</v>
      </c>
      <c r="B337">
        <v>1</v>
      </c>
      <c r="C337">
        <v>178</v>
      </c>
      <c r="D337">
        <v>25</v>
      </c>
      <c r="E337">
        <v>8</v>
      </c>
      <c r="F337">
        <v>2</v>
      </c>
      <c r="G337">
        <v>1</v>
      </c>
      <c r="H337">
        <v>215</v>
      </c>
      <c r="I337" s="2">
        <v>0.82790697674418601</v>
      </c>
    </row>
    <row r="338" spans="1:9" x14ac:dyDescent="0.3">
      <c r="A338">
        <v>42458992</v>
      </c>
      <c r="B338">
        <v>1</v>
      </c>
      <c r="C338">
        <v>22</v>
      </c>
      <c r="D338">
        <v>2</v>
      </c>
      <c r="E338">
        <v>1</v>
      </c>
      <c r="F338">
        <v>0</v>
      </c>
      <c r="G338">
        <v>0</v>
      </c>
      <c r="H338">
        <v>26</v>
      </c>
      <c r="I338" s="2">
        <v>0.84615384615384615</v>
      </c>
    </row>
    <row r="339" spans="1:9" x14ac:dyDescent="0.3">
      <c r="A339">
        <v>42459041</v>
      </c>
      <c r="B339">
        <v>1</v>
      </c>
      <c r="C339">
        <v>12</v>
      </c>
      <c r="D339">
        <v>8</v>
      </c>
      <c r="E339">
        <v>2</v>
      </c>
      <c r="F339">
        <v>0</v>
      </c>
      <c r="G339">
        <v>0</v>
      </c>
      <c r="H339">
        <v>23</v>
      </c>
      <c r="I339" s="2">
        <v>0.52173913043478259</v>
      </c>
    </row>
    <row r="340" spans="1:9" x14ac:dyDescent="0.3">
      <c r="A340">
        <v>42459099</v>
      </c>
      <c r="B340">
        <v>1</v>
      </c>
      <c r="C340">
        <v>47</v>
      </c>
      <c r="D340">
        <v>0</v>
      </c>
      <c r="E340">
        <v>0</v>
      </c>
      <c r="F340">
        <v>0</v>
      </c>
      <c r="G340">
        <v>1</v>
      </c>
      <c r="H340">
        <v>49</v>
      </c>
      <c r="I340" s="2">
        <v>0.95918367346938771</v>
      </c>
    </row>
    <row r="341" spans="1:9" x14ac:dyDescent="0.3">
      <c r="A341">
        <v>42459148</v>
      </c>
      <c r="B341">
        <v>1</v>
      </c>
      <c r="C341">
        <v>10</v>
      </c>
      <c r="D341">
        <v>13</v>
      </c>
      <c r="E341">
        <v>0</v>
      </c>
      <c r="F341">
        <v>0</v>
      </c>
      <c r="G341">
        <v>0</v>
      </c>
      <c r="H341">
        <v>24</v>
      </c>
      <c r="I341" s="2">
        <v>0.41666666666666669</v>
      </c>
    </row>
    <row r="342" spans="1:9" x14ac:dyDescent="0.3">
      <c r="A342">
        <v>42459206</v>
      </c>
      <c r="B342">
        <v>1</v>
      </c>
      <c r="C342">
        <v>55</v>
      </c>
      <c r="D342">
        <v>17</v>
      </c>
      <c r="E342">
        <v>2</v>
      </c>
      <c r="F342">
        <v>0</v>
      </c>
      <c r="G342">
        <v>2</v>
      </c>
      <c r="H342">
        <v>77</v>
      </c>
      <c r="I342" s="2">
        <v>0.7142857142857143</v>
      </c>
    </row>
    <row r="343" spans="1:9" x14ac:dyDescent="0.3">
      <c r="A343">
        <v>42459241</v>
      </c>
      <c r="B343">
        <v>1</v>
      </c>
      <c r="C343">
        <v>37</v>
      </c>
      <c r="D343">
        <v>22</v>
      </c>
      <c r="E343">
        <v>6</v>
      </c>
      <c r="F343">
        <v>0</v>
      </c>
      <c r="G343">
        <v>2</v>
      </c>
      <c r="H343">
        <v>68</v>
      </c>
      <c r="I343" s="2">
        <v>0.54411764705882348</v>
      </c>
    </row>
    <row r="344" spans="1:9" x14ac:dyDescent="0.3">
      <c r="A344">
        <v>42459298</v>
      </c>
      <c r="B344">
        <v>1</v>
      </c>
      <c r="C344">
        <v>20</v>
      </c>
      <c r="D344">
        <v>3</v>
      </c>
      <c r="E344">
        <v>1</v>
      </c>
      <c r="F344">
        <v>0</v>
      </c>
      <c r="G344">
        <v>1</v>
      </c>
      <c r="H344">
        <v>26</v>
      </c>
      <c r="I344" s="2">
        <v>0.76923076923076927</v>
      </c>
    </row>
    <row r="345" spans="1:9" x14ac:dyDescent="0.3">
      <c r="A345">
        <v>42463024</v>
      </c>
      <c r="B345">
        <v>1</v>
      </c>
      <c r="C345">
        <v>301</v>
      </c>
      <c r="D345">
        <v>31</v>
      </c>
      <c r="E345">
        <v>11</v>
      </c>
      <c r="F345">
        <v>4</v>
      </c>
      <c r="G345">
        <v>5</v>
      </c>
      <c r="H345">
        <v>353</v>
      </c>
      <c r="I345" s="2">
        <v>0.85269121813031157</v>
      </c>
    </row>
    <row r="346" spans="1:9" x14ac:dyDescent="0.3">
      <c r="A346">
        <v>42463063</v>
      </c>
      <c r="B346">
        <v>1</v>
      </c>
      <c r="C346">
        <v>209</v>
      </c>
      <c r="D346">
        <v>8</v>
      </c>
      <c r="E346">
        <v>7</v>
      </c>
      <c r="F346">
        <v>1</v>
      </c>
      <c r="G346">
        <v>2</v>
      </c>
      <c r="H346">
        <v>228</v>
      </c>
      <c r="I346" s="2">
        <v>0.91666666666666663</v>
      </c>
    </row>
    <row r="347" spans="1:9" x14ac:dyDescent="0.3">
      <c r="A347">
        <v>42464257</v>
      </c>
      <c r="B347">
        <v>1</v>
      </c>
      <c r="C347">
        <v>10</v>
      </c>
      <c r="D347">
        <v>3</v>
      </c>
      <c r="E347">
        <v>6</v>
      </c>
      <c r="F347">
        <v>2</v>
      </c>
      <c r="G347">
        <v>5</v>
      </c>
      <c r="H347">
        <v>27</v>
      </c>
      <c r="I347" s="2">
        <v>0.37037037037037035</v>
      </c>
    </row>
    <row r="348" spans="1:9" x14ac:dyDescent="0.3">
      <c r="A348">
        <v>42582272</v>
      </c>
      <c r="B348">
        <v>1</v>
      </c>
      <c r="C348">
        <v>9</v>
      </c>
      <c r="D348">
        <v>1</v>
      </c>
      <c r="E348">
        <v>7</v>
      </c>
      <c r="F348">
        <v>6</v>
      </c>
      <c r="G348">
        <v>2</v>
      </c>
      <c r="H348">
        <v>26</v>
      </c>
      <c r="I348" s="2">
        <v>0.34615384615384615</v>
      </c>
    </row>
    <row r="349" spans="1:9" x14ac:dyDescent="0.3">
      <c r="A349">
        <v>42598944</v>
      </c>
      <c r="B349">
        <v>1</v>
      </c>
      <c r="C349">
        <v>114</v>
      </c>
      <c r="D349">
        <v>7</v>
      </c>
      <c r="E349">
        <v>7</v>
      </c>
      <c r="F349">
        <v>0</v>
      </c>
      <c r="G349">
        <v>1</v>
      </c>
      <c r="H349">
        <v>130</v>
      </c>
      <c r="I349" s="2">
        <v>0.87692307692307692</v>
      </c>
    </row>
    <row r="350" spans="1:9" x14ac:dyDescent="0.3">
      <c r="A350">
        <v>42638390</v>
      </c>
      <c r="B350">
        <v>1</v>
      </c>
      <c r="C350">
        <v>10</v>
      </c>
      <c r="D350">
        <v>1</v>
      </c>
      <c r="E350">
        <v>5</v>
      </c>
      <c r="F350">
        <v>1</v>
      </c>
      <c r="G350">
        <v>6</v>
      </c>
      <c r="H350">
        <v>24</v>
      </c>
      <c r="I350" s="2">
        <v>0.41666666666666669</v>
      </c>
    </row>
    <row r="351" spans="1:9" x14ac:dyDescent="0.3">
      <c r="A351">
        <v>42655622</v>
      </c>
      <c r="B351">
        <v>1</v>
      </c>
      <c r="C351">
        <v>23</v>
      </c>
      <c r="D351">
        <v>8</v>
      </c>
      <c r="E351">
        <v>47</v>
      </c>
      <c r="F351">
        <v>25</v>
      </c>
      <c r="G351">
        <v>38</v>
      </c>
      <c r="H351">
        <v>142</v>
      </c>
      <c r="I351" s="2">
        <v>0.1619718309859155</v>
      </c>
    </row>
    <row r="352" spans="1:9" x14ac:dyDescent="0.3">
      <c r="A352">
        <v>42660481</v>
      </c>
      <c r="B352">
        <v>1</v>
      </c>
      <c r="C352">
        <v>7</v>
      </c>
      <c r="D352">
        <v>0</v>
      </c>
      <c r="E352">
        <v>1</v>
      </c>
      <c r="F352">
        <v>2</v>
      </c>
      <c r="G352">
        <v>3</v>
      </c>
      <c r="H352">
        <v>14</v>
      </c>
      <c r="I352" s="2">
        <v>0.5</v>
      </c>
    </row>
    <row r="353" spans="1:9" x14ac:dyDescent="0.3">
      <c r="A353">
        <v>42705635</v>
      </c>
      <c r="B353">
        <v>1</v>
      </c>
      <c r="C353">
        <v>110</v>
      </c>
      <c r="D353">
        <v>60</v>
      </c>
      <c r="E353">
        <v>21</v>
      </c>
      <c r="F353">
        <v>2</v>
      </c>
      <c r="G353">
        <v>1</v>
      </c>
      <c r="H353">
        <v>195</v>
      </c>
      <c r="I353" s="2">
        <v>0.5641025641025641</v>
      </c>
    </row>
    <row r="354" spans="1:9" x14ac:dyDescent="0.3">
      <c r="A354">
        <v>42731028</v>
      </c>
      <c r="B354">
        <v>1</v>
      </c>
      <c r="C354">
        <v>167</v>
      </c>
      <c r="D354">
        <v>20</v>
      </c>
      <c r="E354">
        <v>12</v>
      </c>
      <c r="F354">
        <v>1</v>
      </c>
      <c r="G354">
        <v>0</v>
      </c>
      <c r="H354">
        <v>201</v>
      </c>
      <c r="I354" s="2">
        <v>0.8308457711442786</v>
      </c>
    </row>
    <row r="355" spans="1:9" x14ac:dyDescent="0.3">
      <c r="A355">
        <v>42758642</v>
      </c>
      <c r="B355">
        <v>1</v>
      </c>
      <c r="C355">
        <v>128</v>
      </c>
      <c r="D355">
        <v>56</v>
      </c>
      <c r="E355">
        <v>22</v>
      </c>
      <c r="F355">
        <v>0</v>
      </c>
      <c r="G355">
        <v>2</v>
      </c>
      <c r="H355">
        <v>209</v>
      </c>
      <c r="I355" s="2">
        <v>0.61244019138755978</v>
      </c>
    </row>
    <row r="356" spans="1:9" x14ac:dyDescent="0.3">
      <c r="A356">
        <v>42769578</v>
      </c>
      <c r="B356">
        <v>1</v>
      </c>
      <c r="C356">
        <v>6</v>
      </c>
      <c r="D356">
        <v>4</v>
      </c>
      <c r="E356">
        <v>11</v>
      </c>
      <c r="F356">
        <v>7</v>
      </c>
      <c r="G356">
        <v>8</v>
      </c>
      <c r="H356">
        <v>37</v>
      </c>
      <c r="I356" s="2">
        <v>0.16216216216216217</v>
      </c>
    </row>
    <row r="357" spans="1:9" x14ac:dyDescent="0.3">
      <c r="A357">
        <v>42787717</v>
      </c>
      <c r="B357">
        <v>1</v>
      </c>
      <c r="C357">
        <v>98</v>
      </c>
      <c r="D357">
        <v>20</v>
      </c>
      <c r="E357">
        <v>15</v>
      </c>
      <c r="F357">
        <v>1</v>
      </c>
      <c r="G357">
        <v>0</v>
      </c>
      <c r="H357">
        <v>135</v>
      </c>
      <c r="I357" s="2">
        <v>0.72592592592592597</v>
      </c>
    </row>
    <row r="358" spans="1:9" x14ac:dyDescent="0.3">
      <c r="A358">
        <v>42814075</v>
      </c>
      <c r="B358">
        <v>1</v>
      </c>
      <c r="C358">
        <v>91</v>
      </c>
      <c r="D358">
        <v>17</v>
      </c>
      <c r="E358">
        <v>6</v>
      </c>
      <c r="F358">
        <v>0</v>
      </c>
      <c r="G358">
        <v>0</v>
      </c>
      <c r="H358">
        <v>115</v>
      </c>
      <c r="I358" s="2">
        <v>0.79130434782608694</v>
      </c>
    </row>
    <row r="359" spans="1:9" x14ac:dyDescent="0.3">
      <c r="A359">
        <v>42827302</v>
      </c>
      <c r="B359">
        <v>1</v>
      </c>
      <c r="C359">
        <v>6</v>
      </c>
      <c r="D359">
        <v>15</v>
      </c>
      <c r="E359">
        <v>40</v>
      </c>
      <c r="F359">
        <v>48</v>
      </c>
      <c r="G359">
        <v>29</v>
      </c>
      <c r="H359">
        <v>139</v>
      </c>
      <c r="I359" s="2">
        <v>4.3165467625899283E-2</v>
      </c>
    </row>
    <row r="360" spans="1:9" x14ac:dyDescent="0.3">
      <c r="A360">
        <v>42913719</v>
      </c>
      <c r="B360">
        <v>1</v>
      </c>
      <c r="C360">
        <v>148</v>
      </c>
      <c r="D360">
        <v>36</v>
      </c>
      <c r="E360">
        <v>10</v>
      </c>
      <c r="F360">
        <v>0</v>
      </c>
      <c r="G360">
        <v>1</v>
      </c>
      <c r="H360">
        <v>196</v>
      </c>
      <c r="I360" s="2">
        <v>0.75510204081632648</v>
      </c>
    </row>
    <row r="361" spans="1:9" x14ac:dyDescent="0.3">
      <c r="A361">
        <v>42930643</v>
      </c>
      <c r="B361">
        <v>1</v>
      </c>
      <c r="C361">
        <v>6</v>
      </c>
      <c r="D361">
        <v>0</v>
      </c>
      <c r="E361">
        <v>1</v>
      </c>
      <c r="F361">
        <v>2</v>
      </c>
      <c r="G361">
        <v>2</v>
      </c>
      <c r="H361">
        <v>12</v>
      </c>
      <c r="I361" s="2">
        <v>0.5</v>
      </c>
    </row>
    <row r="362" spans="1:9" x14ac:dyDescent="0.3">
      <c r="A362">
        <v>42954942</v>
      </c>
      <c r="B362">
        <v>1</v>
      </c>
      <c r="C362">
        <v>7</v>
      </c>
      <c r="D362">
        <v>4</v>
      </c>
      <c r="E362">
        <v>7</v>
      </c>
      <c r="F362">
        <v>7</v>
      </c>
      <c r="G362">
        <v>3</v>
      </c>
      <c r="H362">
        <v>29</v>
      </c>
      <c r="I362" s="2">
        <v>0.2413793103448276</v>
      </c>
    </row>
    <row r="363" spans="1:9" x14ac:dyDescent="0.3">
      <c r="A363">
        <v>42955107</v>
      </c>
      <c r="B363">
        <v>1</v>
      </c>
      <c r="C363">
        <v>7</v>
      </c>
      <c r="D363">
        <v>1</v>
      </c>
      <c r="E363">
        <v>4</v>
      </c>
      <c r="F363">
        <v>4</v>
      </c>
      <c r="G363">
        <v>2</v>
      </c>
      <c r="H363">
        <v>19</v>
      </c>
      <c r="I363" s="2">
        <v>0.36842105263157893</v>
      </c>
    </row>
    <row r="364" spans="1:9" x14ac:dyDescent="0.3">
      <c r="A364">
        <v>42971568</v>
      </c>
      <c r="B364">
        <v>1</v>
      </c>
      <c r="C364">
        <v>102</v>
      </c>
      <c r="D364">
        <v>23</v>
      </c>
      <c r="E364">
        <v>6</v>
      </c>
      <c r="F364">
        <v>0</v>
      </c>
      <c r="G364">
        <v>0</v>
      </c>
      <c r="H364">
        <v>132</v>
      </c>
      <c r="I364" s="2">
        <v>0.77272727272727271</v>
      </c>
    </row>
    <row r="365" spans="1:9" x14ac:dyDescent="0.3">
      <c r="A365">
        <v>42997602</v>
      </c>
      <c r="B365">
        <v>1</v>
      </c>
      <c r="C365">
        <v>148</v>
      </c>
      <c r="D365">
        <v>33</v>
      </c>
      <c r="E365">
        <v>13</v>
      </c>
      <c r="F365">
        <v>2</v>
      </c>
      <c r="G365">
        <v>0</v>
      </c>
      <c r="H365">
        <v>197</v>
      </c>
      <c r="I365" s="2">
        <v>0.75126903553299496</v>
      </c>
    </row>
    <row r="366" spans="1:9" x14ac:dyDescent="0.3">
      <c r="A366">
        <v>43005400</v>
      </c>
      <c r="B366">
        <v>1</v>
      </c>
      <c r="C366">
        <v>9</v>
      </c>
      <c r="D366">
        <v>0</v>
      </c>
      <c r="E366">
        <v>3</v>
      </c>
      <c r="F366">
        <v>4</v>
      </c>
      <c r="G366">
        <v>3</v>
      </c>
      <c r="H366">
        <v>20</v>
      </c>
      <c r="I366" s="2">
        <v>0.45</v>
      </c>
    </row>
    <row r="367" spans="1:9" x14ac:dyDescent="0.3">
      <c r="A367">
        <v>43022614</v>
      </c>
      <c r="B367">
        <v>1</v>
      </c>
      <c r="C367">
        <v>114</v>
      </c>
      <c r="D367">
        <v>31</v>
      </c>
      <c r="E367">
        <v>18</v>
      </c>
      <c r="F367">
        <v>0</v>
      </c>
      <c r="G367">
        <v>1</v>
      </c>
      <c r="H367">
        <v>165</v>
      </c>
      <c r="I367" s="2">
        <v>0.69090909090909092</v>
      </c>
    </row>
    <row r="368" spans="1:9" x14ac:dyDescent="0.3">
      <c r="A368">
        <v>43060660</v>
      </c>
      <c r="B368">
        <v>1</v>
      </c>
      <c r="C368">
        <v>6</v>
      </c>
      <c r="D368">
        <v>19</v>
      </c>
      <c r="E368">
        <v>90</v>
      </c>
      <c r="F368">
        <v>13</v>
      </c>
      <c r="G368">
        <v>5</v>
      </c>
      <c r="H368">
        <v>134</v>
      </c>
      <c r="I368" s="2">
        <v>4.4776119402985072E-2</v>
      </c>
    </row>
    <row r="369" spans="1:9" x14ac:dyDescent="0.3">
      <c r="A369">
        <v>43062588</v>
      </c>
      <c r="B369">
        <v>1</v>
      </c>
      <c r="C369">
        <v>9</v>
      </c>
      <c r="D369">
        <v>0</v>
      </c>
      <c r="E369">
        <v>3</v>
      </c>
      <c r="F369">
        <v>3</v>
      </c>
      <c r="G369">
        <v>3</v>
      </c>
      <c r="H369">
        <v>19</v>
      </c>
      <c r="I369" s="2">
        <v>0.47368421052631576</v>
      </c>
    </row>
    <row r="370" spans="1:9" x14ac:dyDescent="0.3">
      <c r="A370">
        <v>43081554</v>
      </c>
      <c r="B370">
        <v>1</v>
      </c>
      <c r="C370">
        <v>73</v>
      </c>
      <c r="D370">
        <v>40</v>
      </c>
      <c r="E370">
        <v>20</v>
      </c>
      <c r="F370">
        <v>0</v>
      </c>
      <c r="G370">
        <v>0</v>
      </c>
      <c r="H370">
        <v>134</v>
      </c>
      <c r="I370" s="2">
        <v>0.54477611940298509</v>
      </c>
    </row>
    <row r="371" spans="1:9" x14ac:dyDescent="0.3">
      <c r="A371">
        <v>43110506</v>
      </c>
      <c r="B371">
        <v>1</v>
      </c>
      <c r="C371">
        <v>86</v>
      </c>
      <c r="D371">
        <v>22</v>
      </c>
      <c r="E371">
        <v>8</v>
      </c>
      <c r="F371">
        <v>2</v>
      </c>
      <c r="G371">
        <v>0</v>
      </c>
      <c r="H371">
        <v>119</v>
      </c>
      <c r="I371" s="2">
        <v>0.72268907563025209</v>
      </c>
    </row>
    <row r="372" spans="1:9" x14ac:dyDescent="0.3">
      <c r="A372">
        <v>43138108</v>
      </c>
      <c r="B372">
        <v>1</v>
      </c>
      <c r="C372">
        <v>102</v>
      </c>
      <c r="D372">
        <v>38</v>
      </c>
      <c r="E372">
        <v>12</v>
      </c>
      <c r="F372">
        <v>2</v>
      </c>
      <c r="G372">
        <v>0</v>
      </c>
      <c r="H372">
        <v>155</v>
      </c>
      <c r="I372" s="2">
        <v>0.65806451612903227</v>
      </c>
    </row>
    <row r="373" spans="1:9" x14ac:dyDescent="0.3">
      <c r="A373">
        <v>43166702</v>
      </c>
      <c r="B373">
        <v>1</v>
      </c>
      <c r="C373">
        <v>107</v>
      </c>
      <c r="D373">
        <v>47</v>
      </c>
      <c r="E373">
        <v>11</v>
      </c>
      <c r="F373">
        <v>2</v>
      </c>
      <c r="G373">
        <v>0</v>
      </c>
      <c r="H373">
        <v>168</v>
      </c>
      <c r="I373" s="2">
        <v>0.63690476190476186</v>
      </c>
    </row>
    <row r="374" spans="1:9" x14ac:dyDescent="0.3">
      <c r="A374" t="s">
        <v>7</v>
      </c>
      <c r="B374">
        <v>372</v>
      </c>
      <c r="C374">
        <v>7132</v>
      </c>
      <c r="D374">
        <v>4154</v>
      </c>
      <c r="E374">
        <v>10657</v>
      </c>
      <c r="F374">
        <v>17675</v>
      </c>
      <c r="G374">
        <v>27008</v>
      </c>
      <c r="H374">
        <v>66998</v>
      </c>
    </row>
    <row r="375" spans="1:9" x14ac:dyDescent="0.3">
      <c r="A375" t="s">
        <v>9</v>
      </c>
      <c r="B375" s="2">
        <v>5.5524045493895342E-3</v>
      </c>
      <c r="C375" s="2">
        <v>0.10645093883399505</v>
      </c>
      <c r="D375" s="2">
        <v>6.2001850801516462E-2</v>
      </c>
      <c r="E375" s="2">
        <v>0.15906444968506522</v>
      </c>
      <c r="F375" s="2">
        <v>0.26381384518940865</v>
      </c>
      <c r="G375" s="2">
        <v>0.40311651094062512</v>
      </c>
      <c r="H375" s="2"/>
    </row>
  </sheetData>
  <autoFilter ref="A1:I375" xr:uid="{4F8F83EB-D2AA-4A07-AAE9-D76D7665516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0B25-28FF-4157-9E34-B2A65A3696B9}">
  <sheetPr filterMode="1"/>
  <dimension ref="A1:J29"/>
  <sheetViews>
    <sheetView workbookViewId="0">
      <selection activeCell="A3" sqref="A3:A29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4" max="4" width="8.77734375" bestFit="1" customWidth="1"/>
    <col min="5" max="5" width="8.44140625" bestFit="1" customWidth="1"/>
    <col min="6" max="6" width="9.44140625" bestFit="1" customWidth="1"/>
    <col min="7" max="7" width="6.88671875" bestFit="1" customWidth="1"/>
    <col min="8" max="8" width="4.88671875" bestFit="1" customWidth="1"/>
    <col min="9" max="9" width="14.21875" bestFit="1" customWidth="1"/>
    <col min="10" max="10" width="1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12</v>
      </c>
    </row>
    <row r="2" spans="1:10" x14ac:dyDescent="0.3">
      <c r="A2">
        <v>32318884</v>
      </c>
      <c r="B2">
        <v>1</v>
      </c>
      <c r="C2">
        <v>8</v>
      </c>
      <c r="D2">
        <v>2</v>
      </c>
      <c r="E2">
        <v>0</v>
      </c>
      <c r="F2">
        <v>0</v>
      </c>
      <c r="G2">
        <v>3</v>
      </c>
      <c r="H2">
        <v>14</v>
      </c>
      <c r="I2" s="2">
        <v>0.5714285714285714</v>
      </c>
      <c r="J2" t="e">
        <f>_xlfn.XLOOKUP(A2,'16 Accounts given'!$A$2:$A$17,'16 Accounts given'!$A$2:$A$17)</f>
        <v>#N/A</v>
      </c>
    </row>
    <row r="3" spans="1:10" x14ac:dyDescent="0.3">
      <c r="A3">
        <v>42372845</v>
      </c>
      <c r="B3">
        <v>1</v>
      </c>
      <c r="C3">
        <v>19</v>
      </c>
      <c r="D3">
        <v>10</v>
      </c>
      <c r="E3">
        <v>7</v>
      </c>
      <c r="F3">
        <v>0</v>
      </c>
      <c r="G3">
        <v>0</v>
      </c>
      <c r="H3">
        <v>37</v>
      </c>
      <c r="I3" s="2">
        <v>0.51351351351351349</v>
      </c>
      <c r="J3" t="e">
        <f>_xlfn.XLOOKUP(A3,'16 Accounts given'!$A$2:$A$17,'16 Accounts given'!$A$2:$A$17)</f>
        <v>#N/A</v>
      </c>
    </row>
    <row r="4" spans="1:10" x14ac:dyDescent="0.3">
      <c r="A4">
        <v>42381392</v>
      </c>
      <c r="B4">
        <v>1</v>
      </c>
      <c r="C4">
        <v>86</v>
      </c>
      <c r="D4">
        <v>21</v>
      </c>
      <c r="E4">
        <v>6</v>
      </c>
      <c r="F4">
        <v>0</v>
      </c>
      <c r="G4">
        <v>1</v>
      </c>
      <c r="H4">
        <v>115</v>
      </c>
      <c r="I4" s="2">
        <v>0.74782608695652175</v>
      </c>
      <c r="J4" t="e">
        <f>_xlfn.XLOOKUP(A4,'16 Accounts given'!$A$2:$A$17,'16 Accounts given'!$A$2:$A$17)</f>
        <v>#N/A</v>
      </c>
    </row>
    <row r="5" spans="1:10" x14ac:dyDescent="0.3">
      <c r="A5">
        <v>42406507</v>
      </c>
      <c r="B5">
        <v>1</v>
      </c>
      <c r="C5">
        <v>184</v>
      </c>
      <c r="D5">
        <v>46</v>
      </c>
      <c r="E5">
        <v>27</v>
      </c>
      <c r="F5">
        <v>1</v>
      </c>
      <c r="G5">
        <v>3</v>
      </c>
      <c r="H5">
        <v>262</v>
      </c>
      <c r="I5" s="2">
        <v>0.70229007633587781</v>
      </c>
      <c r="J5" t="e">
        <f>_xlfn.XLOOKUP(A5,'16 Accounts given'!$A$2:$A$17,'16 Accounts given'!$A$2:$A$17)</f>
        <v>#N/A</v>
      </c>
    </row>
    <row r="6" spans="1:10" x14ac:dyDescent="0.3">
      <c r="A6">
        <v>42426592</v>
      </c>
      <c r="B6">
        <v>1</v>
      </c>
      <c r="C6">
        <v>128</v>
      </c>
      <c r="D6">
        <v>54</v>
      </c>
      <c r="E6">
        <v>19</v>
      </c>
      <c r="F6">
        <v>1</v>
      </c>
      <c r="G6">
        <v>1</v>
      </c>
      <c r="H6">
        <v>204</v>
      </c>
      <c r="I6" s="2">
        <v>0.62745098039215685</v>
      </c>
      <c r="J6" t="e">
        <f>_xlfn.XLOOKUP(A6,'16 Accounts given'!$A$2:$A$17,'16 Accounts given'!$A$2:$A$17)</f>
        <v>#N/A</v>
      </c>
    </row>
    <row r="7" spans="1:10" x14ac:dyDescent="0.3">
      <c r="A7">
        <v>42426641</v>
      </c>
      <c r="B7">
        <v>1</v>
      </c>
      <c r="C7">
        <v>178</v>
      </c>
      <c r="D7">
        <v>25</v>
      </c>
      <c r="E7">
        <v>8</v>
      </c>
      <c r="F7">
        <v>2</v>
      </c>
      <c r="G7">
        <v>1</v>
      </c>
      <c r="H7">
        <v>215</v>
      </c>
      <c r="I7" s="2">
        <v>0.82790697674418601</v>
      </c>
      <c r="J7" t="e">
        <f>_xlfn.XLOOKUP(A7,'16 Accounts given'!$A$2:$A$17,'16 Accounts given'!$A$2:$A$17)</f>
        <v>#N/A</v>
      </c>
    </row>
    <row r="8" spans="1:10" x14ac:dyDescent="0.3">
      <c r="A8">
        <v>42458992</v>
      </c>
      <c r="B8">
        <v>1</v>
      </c>
      <c r="C8">
        <v>22</v>
      </c>
      <c r="D8">
        <v>2</v>
      </c>
      <c r="E8">
        <v>1</v>
      </c>
      <c r="F8">
        <v>0</v>
      </c>
      <c r="G8">
        <v>0</v>
      </c>
      <c r="H8">
        <v>26</v>
      </c>
      <c r="I8" s="2">
        <v>0.84615384615384615</v>
      </c>
      <c r="J8" t="e">
        <f>_xlfn.XLOOKUP(A8,'16 Accounts given'!$A$2:$A$17,'16 Accounts given'!$A$2:$A$17)</f>
        <v>#N/A</v>
      </c>
    </row>
    <row r="9" spans="1:10" x14ac:dyDescent="0.3">
      <c r="A9">
        <v>42459041</v>
      </c>
      <c r="B9">
        <v>1</v>
      </c>
      <c r="C9">
        <v>12</v>
      </c>
      <c r="D9">
        <v>8</v>
      </c>
      <c r="E9">
        <v>2</v>
      </c>
      <c r="F9">
        <v>0</v>
      </c>
      <c r="G9">
        <v>0</v>
      </c>
      <c r="H9">
        <v>23</v>
      </c>
      <c r="I9" s="2">
        <v>0.52173913043478259</v>
      </c>
      <c r="J9" t="e">
        <f>_xlfn.XLOOKUP(A9,'16 Accounts given'!$A$2:$A$17,'16 Accounts given'!$A$2:$A$17)</f>
        <v>#N/A</v>
      </c>
    </row>
    <row r="10" spans="1:10" x14ac:dyDescent="0.3">
      <c r="A10">
        <v>42459099</v>
      </c>
      <c r="B10">
        <v>1</v>
      </c>
      <c r="C10">
        <v>47</v>
      </c>
      <c r="D10">
        <v>0</v>
      </c>
      <c r="E10">
        <v>0</v>
      </c>
      <c r="F10">
        <v>0</v>
      </c>
      <c r="G10">
        <v>1</v>
      </c>
      <c r="H10">
        <v>49</v>
      </c>
      <c r="I10" s="2">
        <v>0.95918367346938771</v>
      </c>
      <c r="J10" t="e">
        <f>_xlfn.XLOOKUP(A10,'16 Accounts given'!$A$2:$A$17,'16 Accounts given'!$A$2:$A$17)</f>
        <v>#N/A</v>
      </c>
    </row>
    <row r="11" spans="1:10" hidden="1" x14ac:dyDescent="0.3">
      <c r="A11">
        <v>42459206</v>
      </c>
      <c r="B11">
        <v>1</v>
      </c>
      <c r="C11">
        <v>55</v>
      </c>
      <c r="D11">
        <v>17</v>
      </c>
      <c r="E11">
        <v>2</v>
      </c>
      <c r="F11">
        <v>0</v>
      </c>
      <c r="G11">
        <v>2</v>
      </c>
      <c r="H11">
        <v>77</v>
      </c>
      <c r="I11" s="2">
        <v>0.7142857142857143</v>
      </c>
      <c r="J11">
        <f>_xlfn.XLOOKUP(A11,'16 Accounts given'!$A$2:$A$17,'16 Accounts given'!$A$2:$A$17)</f>
        <v>42459206</v>
      </c>
    </row>
    <row r="12" spans="1:10" x14ac:dyDescent="0.3">
      <c r="A12">
        <v>42459241</v>
      </c>
      <c r="B12">
        <v>1</v>
      </c>
      <c r="C12">
        <v>37</v>
      </c>
      <c r="D12">
        <v>22</v>
      </c>
      <c r="E12">
        <v>6</v>
      </c>
      <c r="F12">
        <v>0</v>
      </c>
      <c r="G12">
        <v>2</v>
      </c>
      <c r="H12">
        <v>68</v>
      </c>
      <c r="I12" s="2">
        <v>0.54411764705882348</v>
      </c>
      <c r="J12" t="e">
        <f>_xlfn.XLOOKUP(A12,'16 Accounts given'!$A$2:$A$17,'16 Accounts given'!$A$2:$A$17)</f>
        <v>#N/A</v>
      </c>
    </row>
    <row r="13" spans="1:10" x14ac:dyDescent="0.3">
      <c r="A13">
        <v>42459298</v>
      </c>
      <c r="B13">
        <v>1</v>
      </c>
      <c r="C13">
        <v>20</v>
      </c>
      <c r="D13">
        <v>3</v>
      </c>
      <c r="E13">
        <v>1</v>
      </c>
      <c r="F13">
        <v>0</v>
      </c>
      <c r="G13">
        <v>1</v>
      </c>
      <c r="H13">
        <v>26</v>
      </c>
      <c r="I13" s="2">
        <v>0.76923076923076927</v>
      </c>
      <c r="J13" t="e">
        <f>_xlfn.XLOOKUP(A13,'16 Accounts given'!$A$2:$A$17,'16 Accounts given'!$A$2:$A$17)</f>
        <v>#N/A</v>
      </c>
    </row>
    <row r="14" spans="1:10" x14ac:dyDescent="0.3">
      <c r="A14">
        <v>42463024</v>
      </c>
      <c r="B14">
        <v>1</v>
      </c>
      <c r="C14">
        <v>301</v>
      </c>
      <c r="D14">
        <v>31</v>
      </c>
      <c r="E14">
        <v>11</v>
      </c>
      <c r="F14">
        <v>4</v>
      </c>
      <c r="G14">
        <v>5</v>
      </c>
      <c r="H14">
        <v>353</v>
      </c>
      <c r="I14" s="2">
        <v>0.85269121813031157</v>
      </c>
      <c r="J14" t="e">
        <f>_xlfn.XLOOKUP(A14,'16 Accounts given'!$A$2:$A$17,'16 Accounts given'!$A$2:$A$17)</f>
        <v>#N/A</v>
      </c>
    </row>
    <row r="15" spans="1:10" x14ac:dyDescent="0.3">
      <c r="A15">
        <v>42463063</v>
      </c>
      <c r="B15">
        <v>1</v>
      </c>
      <c r="C15">
        <v>209</v>
      </c>
      <c r="D15">
        <v>8</v>
      </c>
      <c r="E15">
        <v>7</v>
      </c>
      <c r="F15">
        <v>1</v>
      </c>
      <c r="G15">
        <v>2</v>
      </c>
      <c r="H15">
        <v>228</v>
      </c>
      <c r="I15" s="2">
        <v>0.91666666666666663</v>
      </c>
      <c r="J15" t="e">
        <f>_xlfn.XLOOKUP(A15,'16 Accounts given'!$A$2:$A$17,'16 Accounts given'!$A$2:$A$17)</f>
        <v>#N/A</v>
      </c>
    </row>
    <row r="16" spans="1:10" hidden="1" x14ac:dyDescent="0.3">
      <c r="A16">
        <v>42598944</v>
      </c>
      <c r="B16">
        <v>1</v>
      </c>
      <c r="C16">
        <v>114</v>
      </c>
      <c r="D16">
        <v>7</v>
      </c>
      <c r="E16">
        <v>7</v>
      </c>
      <c r="F16">
        <v>0</v>
      </c>
      <c r="G16">
        <v>1</v>
      </c>
      <c r="H16">
        <v>130</v>
      </c>
      <c r="I16" s="2">
        <v>0.87692307692307692</v>
      </c>
      <c r="J16">
        <f>_xlfn.XLOOKUP(A16,'16 Accounts given'!$A$2:$A$17,'16 Accounts given'!$A$2:$A$17)</f>
        <v>42598944</v>
      </c>
    </row>
    <row r="17" spans="1:10" x14ac:dyDescent="0.3">
      <c r="A17">
        <v>42705635</v>
      </c>
      <c r="B17">
        <v>1</v>
      </c>
      <c r="C17">
        <v>110</v>
      </c>
      <c r="D17">
        <v>60</v>
      </c>
      <c r="E17">
        <v>21</v>
      </c>
      <c r="F17">
        <v>2</v>
      </c>
      <c r="G17">
        <v>1</v>
      </c>
      <c r="H17">
        <v>195</v>
      </c>
      <c r="I17" s="2">
        <v>0.5641025641025641</v>
      </c>
      <c r="J17" t="e">
        <f>_xlfn.XLOOKUP(A17,'16 Accounts given'!$A$2:$A$17,'16 Accounts given'!$A$2:$A$17)</f>
        <v>#N/A</v>
      </c>
    </row>
    <row r="18" spans="1:10" x14ac:dyDescent="0.3">
      <c r="A18">
        <v>42731028</v>
      </c>
      <c r="B18">
        <v>1</v>
      </c>
      <c r="C18">
        <v>167</v>
      </c>
      <c r="D18">
        <v>20</v>
      </c>
      <c r="E18">
        <v>12</v>
      </c>
      <c r="F18">
        <v>1</v>
      </c>
      <c r="G18">
        <v>0</v>
      </c>
      <c r="H18">
        <v>201</v>
      </c>
      <c r="I18" s="2">
        <v>0.8308457711442786</v>
      </c>
      <c r="J18" t="e">
        <f>_xlfn.XLOOKUP(A18,'16 Accounts given'!$A$2:$A$17,'16 Accounts given'!$A$2:$A$17)</f>
        <v>#N/A</v>
      </c>
    </row>
    <row r="19" spans="1:10" hidden="1" x14ac:dyDescent="0.3">
      <c r="A19">
        <v>42758642</v>
      </c>
      <c r="B19">
        <v>1</v>
      </c>
      <c r="C19">
        <v>128</v>
      </c>
      <c r="D19">
        <v>56</v>
      </c>
      <c r="E19">
        <v>22</v>
      </c>
      <c r="F19">
        <v>0</v>
      </c>
      <c r="G19">
        <v>2</v>
      </c>
      <c r="H19">
        <v>209</v>
      </c>
      <c r="I19" s="2">
        <v>0.61244019138755978</v>
      </c>
      <c r="J19">
        <f>_xlfn.XLOOKUP(A19,'16 Accounts given'!$A$2:$A$17,'16 Accounts given'!$A$2:$A$17)</f>
        <v>42758642</v>
      </c>
    </row>
    <row r="20" spans="1:10" hidden="1" x14ac:dyDescent="0.3">
      <c r="A20">
        <v>42787717</v>
      </c>
      <c r="B20">
        <v>1</v>
      </c>
      <c r="C20">
        <v>98</v>
      </c>
      <c r="D20">
        <v>20</v>
      </c>
      <c r="E20">
        <v>15</v>
      </c>
      <c r="F20">
        <v>1</v>
      </c>
      <c r="G20">
        <v>0</v>
      </c>
      <c r="H20">
        <v>135</v>
      </c>
      <c r="I20" s="2">
        <v>0.72592592592592597</v>
      </c>
      <c r="J20">
        <f>_xlfn.XLOOKUP(A20,'16 Accounts given'!$A$2:$A$17,'16 Accounts given'!$A$2:$A$17)</f>
        <v>42787717</v>
      </c>
    </row>
    <row r="21" spans="1:10" hidden="1" x14ac:dyDescent="0.3">
      <c r="A21">
        <v>42814075</v>
      </c>
      <c r="B21">
        <v>1</v>
      </c>
      <c r="C21">
        <v>91</v>
      </c>
      <c r="D21">
        <v>17</v>
      </c>
      <c r="E21">
        <v>6</v>
      </c>
      <c r="F21">
        <v>0</v>
      </c>
      <c r="G21">
        <v>0</v>
      </c>
      <c r="H21">
        <v>115</v>
      </c>
      <c r="I21" s="2">
        <v>0.79130434782608694</v>
      </c>
      <c r="J21">
        <f>_xlfn.XLOOKUP(A21,'16 Accounts given'!$A$2:$A$17,'16 Accounts given'!$A$2:$A$17)</f>
        <v>42814075</v>
      </c>
    </row>
    <row r="22" spans="1:10" x14ac:dyDescent="0.3">
      <c r="A22">
        <v>42913719</v>
      </c>
      <c r="B22">
        <v>1</v>
      </c>
      <c r="C22">
        <v>148</v>
      </c>
      <c r="D22">
        <v>36</v>
      </c>
      <c r="E22">
        <v>10</v>
      </c>
      <c r="F22">
        <v>0</v>
      </c>
      <c r="G22">
        <v>1</v>
      </c>
      <c r="H22">
        <v>196</v>
      </c>
      <c r="I22" s="2">
        <v>0.75510204081632648</v>
      </c>
      <c r="J22" t="e">
        <f>_xlfn.XLOOKUP(A22,'16 Accounts given'!$A$2:$A$17,'16 Accounts given'!$A$2:$A$17)</f>
        <v>#N/A</v>
      </c>
    </row>
    <row r="23" spans="1:10" x14ac:dyDescent="0.3">
      <c r="A23">
        <v>42971568</v>
      </c>
      <c r="B23">
        <v>1</v>
      </c>
      <c r="C23">
        <v>102</v>
      </c>
      <c r="D23">
        <v>23</v>
      </c>
      <c r="E23">
        <v>6</v>
      </c>
      <c r="F23">
        <v>0</v>
      </c>
      <c r="G23">
        <v>0</v>
      </c>
      <c r="H23">
        <v>132</v>
      </c>
      <c r="I23" s="2">
        <v>0.77272727272727271</v>
      </c>
      <c r="J23" t="e">
        <f>_xlfn.XLOOKUP(A23,'16 Accounts given'!$A$2:$A$17,'16 Accounts given'!$A$2:$A$17)</f>
        <v>#N/A</v>
      </c>
    </row>
    <row r="24" spans="1:10" x14ac:dyDescent="0.3">
      <c r="A24">
        <v>42997602</v>
      </c>
      <c r="B24">
        <v>1</v>
      </c>
      <c r="C24">
        <v>148</v>
      </c>
      <c r="D24">
        <v>33</v>
      </c>
      <c r="E24">
        <v>13</v>
      </c>
      <c r="F24">
        <v>2</v>
      </c>
      <c r="G24">
        <v>0</v>
      </c>
      <c r="H24">
        <v>197</v>
      </c>
      <c r="I24" s="2">
        <v>0.75126903553299496</v>
      </c>
      <c r="J24" t="e">
        <f>_xlfn.XLOOKUP(A24,'16 Accounts given'!$A$2:$A$17,'16 Accounts given'!$A$2:$A$17)</f>
        <v>#N/A</v>
      </c>
    </row>
    <row r="25" spans="1:10" x14ac:dyDescent="0.3">
      <c r="A25">
        <v>43022614</v>
      </c>
      <c r="B25">
        <v>1</v>
      </c>
      <c r="C25">
        <v>114</v>
      </c>
      <c r="D25">
        <v>31</v>
      </c>
      <c r="E25">
        <v>18</v>
      </c>
      <c r="F25">
        <v>0</v>
      </c>
      <c r="G25">
        <v>1</v>
      </c>
      <c r="H25">
        <v>165</v>
      </c>
      <c r="I25" s="2">
        <v>0.69090909090909092</v>
      </c>
      <c r="J25" t="e">
        <f>_xlfn.XLOOKUP(A25,'16 Accounts given'!$A$2:$A$17,'16 Accounts given'!$A$2:$A$17)</f>
        <v>#N/A</v>
      </c>
    </row>
    <row r="26" spans="1:10" x14ac:dyDescent="0.3">
      <c r="A26">
        <v>43081554</v>
      </c>
      <c r="B26">
        <v>1</v>
      </c>
      <c r="C26">
        <v>73</v>
      </c>
      <c r="D26">
        <v>40</v>
      </c>
      <c r="E26">
        <v>20</v>
      </c>
      <c r="F26">
        <v>0</v>
      </c>
      <c r="G26">
        <v>0</v>
      </c>
      <c r="H26">
        <v>134</v>
      </c>
      <c r="I26" s="2">
        <v>0.54477611940298509</v>
      </c>
      <c r="J26" t="e">
        <f>_xlfn.XLOOKUP(A26,'16 Accounts given'!$A$2:$A$17,'16 Accounts given'!$A$2:$A$17)</f>
        <v>#N/A</v>
      </c>
    </row>
    <row r="27" spans="1:10" x14ac:dyDescent="0.3">
      <c r="A27">
        <v>43110506</v>
      </c>
      <c r="B27">
        <v>1</v>
      </c>
      <c r="C27">
        <v>86</v>
      </c>
      <c r="D27">
        <v>22</v>
      </c>
      <c r="E27">
        <v>8</v>
      </c>
      <c r="F27">
        <v>2</v>
      </c>
      <c r="G27">
        <v>0</v>
      </c>
      <c r="H27">
        <v>119</v>
      </c>
      <c r="I27" s="2">
        <v>0.72268907563025209</v>
      </c>
      <c r="J27" t="e">
        <f>_xlfn.XLOOKUP(A27,'16 Accounts given'!$A$2:$A$17,'16 Accounts given'!$A$2:$A$17)</f>
        <v>#N/A</v>
      </c>
    </row>
    <row r="28" spans="1:10" x14ac:dyDescent="0.3">
      <c r="A28">
        <v>43138108</v>
      </c>
      <c r="B28">
        <v>1</v>
      </c>
      <c r="C28">
        <v>102</v>
      </c>
      <c r="D28">
        <v>38</v>
      </c>
      <c r="E28">
        <v>12</v>
      </c>
      <c r="F28">
        <v>2</v>
      </c>
      <c r="G28">
        <v>0</v>
      </c>
      <c r="H28">
        <v>155</v>
      </c>
      <c r="I28" s="2">
        <v>0.65806451612903227</v>
      </c>
      <c r="J28" t="e">
        <f>_xlfn.XLOOKUP(A28,'16 Accounts given'!$A$2:$A$17,'16 Accounts given'!$A$2:$A$17)</f>
        <v>#N/A</v>
      </c>
    </row>
    <row r="29" spans="1:10" x14ac:dyDescent="0.3">
      <c r="A29">
        <v>43166702</v>
      </c>
      <c r="B29">
        <v>1</v>
      </c>
      <c r="C29">
        <v>107</v>
      </c>
      <c r="D29">
        <v>47</v>
      </c>
      <c r="E29">
        <v>11</v>
      </c>
      <c r="F29">
        <v>2</v>
      </c>
      <c r="G29">
        <v>0</v>
      </c>
      <c r="H29">
        <v>168</v>
      </c>
      <c r="I29" s="2">
        <v>0.63690476190476186</v>
      </c>
      <c r="J29" t="e">
        <f>_xlfn.XLOOKUP(A29,'16 Accounts given'!$A$2:$A$17,'16 Accounts given'!$A$2:$A$17)</f>
        <v>#N/A</v>
      </c>
    </row>
  </sheetData>
  <autoFilter ref="A1:J29" xr:uid="{71440B25-28FF-4157-9E34-B2A65A3696B9}">
    <filterColumn colId="9">
      <filters>
        <filter val="#N/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CDAB-AC64-453A-844F-69CB99AB9ACB}">
  <sheetPr filterMode="1"/>
  <dimension ref="A1:I455"/>
  <sheetViews>
    <sheetView workbookViewId="0">
      <pane ySplit="1" topLeftCell="A26" activePane="bottomLeft" state="frozen"/>
      <selection pane="bottomLeft" activeCell="L437" sqref="A1:I455"/>
    </sheetView>
  </sheetViews>
  <sheetFormatPr defaultRowHeight="14.4" x14ac:dyDescent="0.3"/>
  <cols>
    <col min="9" max="9" width="14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hidden="1" x14ac:dyDescent="0.3">
      <c r="A2">
        <v>6347039</v>
      </c>
      <c r="B2">
        <v>1</v>
      </c>
      <c r="C2">
        <v>7</v>
      </c>
      <c r="D2">
        <v>4</v>
      </c>
      <c r="E2">
        <v>9</v>
      </c>
      <c r="F2">
        <v>9</v>
      </c>
      <c r="G2">
        <v>24</v>
      </c>
      <c r="H2">
        <v>54</v>
      </c>
      <c r="I2" s="2">
        <v>0.12962962962962962</v>
      </c>
    </row>
    <row r="3" spans="1:9" hidden="1" x14ac:dyDescent="0.3">
      <c r="A3">
        <v>7887655</v>
      </c>
      <c r="B3">
        <v>1</v>
      </c>
      <c r="C3">
        <v>11</v>
      </c>
      <c r="D3">
        <v>4</v>
      </c>
      <c r="E3">
        <v>20</v>
      </c>
      <c r="F3">
        <v>29</v>
      </c>
      <c r="G3">
        <v>64</v>
      </c>
      <c r="H3">
        <v>129</v>
      </c>
      <c r="I3" s="2">
        <v>8.5271317829457363E-2</v>
      </c>
    </row>
    <row r="4" spans="1:9" hidden="1" x14ac:dyDescent="0.3">
      <c r="A4">
        <v>7891361</v>
      </c>
      <c r="B4">
        <v>1</v>
      </c>
      <c r="C4">
        <v>21</v>
      </c>
      <c r="D4">
        <v>17</v>
      </c>
      <c r="E4">
        <v>29</v>
      </c>
      <c r="F4">
        <v>51</v>
      </c>
      <c r="G4">
        <v>88</v>
      </c>
      <c r="H4">
        <v>207</v>
      </c>
      <c r="I4" s="2">
        <v>0.10144927536231885</v>
      </c>
    </row>
    <row r="5" spans="1:9" hidden="1" x14ac:dyDescent="0.3">
      <c r="A5">
        <v>7892480</v>
      </c>
      <c r="B5">
        <v>1</v>
      </c>
      <c r="C5">
        <v>11</v>
      </c>
      <c r="D5">
        <v>5</v>
      </c>
      <c r="E5">
        <v>22</v>
      </c>
      <c r="F5">
        <v>31</v>
      </c>
      <c r="G5">
        <v>56</v>
      </c>
      <c r="H5">
        <v>126</v>
      </c>
      <c r="I5" s="2">
        <v>8.7301587301587297E-2</v>
      </c>
    </row>
    <row r="6" spans="1:9" hidden="1" x14ac:dyDescent="0.3">
      <c r="A6">
        <v>7907798</v>
      </c>
      <c r="B6">
        <v>1</v>
      </c>
      <c r="C6">
        <v>9</v>
      </c>
      <c r="D6">
        <v>6</v>
      </c>
      <c r="E6">
        <v>59</v>
      </c>
      <c r="F6">
        <v>97</v>
      </c>
      <c r="G6">
        <v>118</v>
      </c>
      <c r="H6">
        <v>290</v>
      </c>
      <c r="I6" s="2">
        <v>3.1034482758620689E-2</v>
      </c>
    </row>
    <row r="7" spans="1:9" hidden="1" x14ac:dyDescent="0.3">
      <c r="A7">
        <v>7910811</v>
      </c>
      <c r="B7">
        <v>1</v>
      </c>
      <c r="C7">
        <v>9</v>
      </c>
      <c r="D7">
        <v>10</v>
      </c>
      <c r="E7">
        <v>111</v>
      </c>
      <c r="F7">
        <v>233</v>
      </c>
      <c r="G7">
        <v>144</v>
      </c>
      <c r="H7">
        <v>508</v>
      </c>
      <c r="I7" s="2">
        <v>1.7716535433070866E-2</v>
      </c>
    </row>
    <row r="8" spans="1:9" hidden="1" x14ac:dyDescent="0.3">
      <c r="A8">
        <v>7922290</v>
      </c>
      <c r="B8">
        <v>1</v>
      </c>
      <c r="C8">
        <v>7</v>
      </c>
      <c r="D8">
        <v>9</v>
      </c>
      <c r="E8">
        <v>13</v>
      </c>
      <c r="F8">
        <v>25</v>
      </c>
      <c r="G8">
        <v>101</v>
      </c>
      <c r="H8">
        <v>156</v>
      </c>
      <c r="I8" s="2">
        <v>4.4871794871794872E-2</v>
      </c>
    </row>
    <row r="9" spans="1:9" hidden="1" x14ac:dyDescent="0.3">
      <c r="A9">
        <v>7926986</v>
      </c>
      <c r="B9">
        <v>1</v>
      </c>
      <c r="C9">
        <v>7</v>
      </c>
      <c r="D9">
        <v>5</v>
      </c>
      <c r="E9">
        <v>2</v>
      </c>
      <c r="F9">
        <v>3</v>
      </c>
      <c r="G9">
        <v>57</v>
      </c>
      <c r="H9">
        <v>75</v>
      </c>
      <c r="I9" s="2">
        <v>9.3333333333333338E-2</v>
      </c>
    </row>
    <row r="10" spans="1:9" hidden="1" x14ac:dyDescent="0.3">
      <c r="A10">
        <v>7946845</v>
      </c>
      <c r="B10">
        <v>1</v>
      </c>
      <c r="C10">
        <v>10</v>
      </c>
      <c r="D10">
        <v>11</v>
      </c>
      <c r="E10">
        <v>32</v>
      </c>
      <c r="F10">
        <v>80</v>
      </c>
      <c r="G10">
        <v>140</v>
      </c>
      <c r="H10">
        <v>274</v>
      </c>
      <c r="I10" s="2">
        <v>3.6496350364963501E-2</v>
      </c>
    </row>
    <row r="11" spans="1:9" hidden="1" x14ac:dyDescent="0.3">
      <c r="A11">
        <v>7975908</v>
      </c>
      <c r="B11">
        <v>1</v>
      </c>
      <c r="C11">
        <v>7</v>
      </c>
      <c r="D11">
        <v>12</v>
      </c>
      <c r="E11">
        <v>57</v>
      </c>
      <c r="F11">
        <v>74</v>
      </c>
      <c r="G11">
        <v>79</v>
      </c>
      <c r="H11">
        <v>230</v>
      </c>
      <c r="I11" s="2">
        <v>3.0434782608695653E-2</v>
      </c>
    </row>
    <row r="12" spans="1:9" hidden="1" x14ac:dyDescent="0.3">
      <c r="A12">
        <v>7981813</v>
      </c>
      <c r="B12">
        <v>1</v>
      </c>
      <c r="C12">
        <v>10</v>
      </c>
      <c r="D12">
        <v>9</v>
      </c>
      <c r="E12">
        <v>48</v>
      </c>
      <c r="F12">
        <v>124</v>
      </c>
      <c r="G12">
        <v>113</v>
      </c>
      <c r="H12">
        <v>305</v>
      </c>
      <c r="I12" s="2">
        <v>3.2786885245901641E-2</v>
      </c>
    </row>
    <row r="13" spans="1:9" hidden="1" x14ac:dyDescent="0.3">
      <c r="A13">
        <v>8000768</v>
      </c>
      <c r="B13">
        <v>1</v>
      </c>
      <c r="C13">
        <v>19</v>
      </c>
      <c r="D13">
        <v>2</v>
      </c>
      <c r="E13">
        <v>25</v>
      </c>
      <c r="F13">
        <v>70</v>
      </c>
      <c r="G13">
        <v>111</v>
      </c>
      <c r="H13">
        <v>228</v>
      </c>
      <c r="I13" s="2">
        <v>8.3333333333333329E-2</v>
      </c>
    </row>
    <row r="14" spans="1:9" hidden="1" x14ac:dyDescent="0.3">
      <c r="A14">
        <v>8010290</v>
      </c>
      <c r="B14">
        <v>1</v>
      </c>
      <c r="C14">
        <v>7</v>
      </c>
      <c r="D14">
        <v>9</v>
      </c>
      <c r="E14">
        <v>43</v>
      </c>
      <c r="F14">
        <v>19</v>
      </c>
      <c r="G14">
        <v>47</v>
      </c>
      <c r="H14">
        <v>126</v>
      </c>
      <c r="I14" s="2">
        <v>5.5555555555555552E-2</v>
      </c>
    </row>
    <row r="15" spans="1:9" hidden="1" x14ac:dyDescent="0.3">
      <c r="A15">
        <v>8024534</v>
      </c>
      <c r="B15">
        <v>1</v>
      </c>
      <c r="C15">
        <v>8</v>
      </c>
      <c r="D15">
        <v>1</v>
      </c>
      <c r="E15">
        <v>0</v>
      </c>
      <c r="F15">
        <v>3</v>
      </c>
      <c r="G15">
        <v>39</v>
      </c>
      <c r="H15">
        <v>52</v>
      </c>
      <c r="I15" s="2">
        <v>0.15384615384615385</v>
      </c>
    </row>
    <row r="16" spans="1:9" hidden="1" x14ac:dyDescent="0.3">
      <c r="A16">
        <v>8029682</v>
      </c>
      <c r="B16">
        <v>1</v>
      </c>
      <c r="C16">
        <v>6</v>
      </c>
      <c r="D16">
        <v>3</v>
      </c>
      <c r="E16">
        <v>9</v>
      </c>
      <c r="F16">
        <v>17</v>
      </c>
      <c r="G16">
        <v>29</v>
      </c>
      <c r="H16">
        <v>65</v>
      </c>
      <c r="I16" s="2">
        <v>9.2307692307692313E-2</v>
      </c>
    </row>
    <row r="17" spans="1:9" hidden="1" x14ac:dyDescent="0.3">
      <c r="A17">
        <v>8102754</v>
      </c>
      <c r="B17">
        <v>1</v>
      </c>
      <c r="C17">
        <v>10</v>
      </c>
      <c r="D17">
        <v>16</v>
      </c>
      <c r="E17">
        <v>37</v>
      </c>
      <c r="F17">
        <v>21</v>
      </c>
      <c r="G17">
        <v>48</v>
      </c>
      <c r="H17">
        <v>133</v>
      </c>
      <c r="I17" s="2">
        <v>7.5187969924812026E-2</v>
      </c>
    </row>
    <row r="18" spans="1:9" hidden="1" x14ac:dyDescent="0.3">
      <c r="A18">
        <v>8104791</v>
      </c>
      <c r="B18">
        <v>1</v>
      </c>
      <c r="C18">
        <v>7</v>
      </c>
      <c r="D18">
        <v>1</v>
      </c>
      <c r="E18">
        <v>4</v>
      </c>
      <c r="F18">
        <v>8</v>
      </c>
      <c r="G18">
        <v>16</v>
      </c>
      <c r="H18">
        <v>37</v>
      </c>
      <c r="I18" s="2">
        <v>0.1891891891891892</v>
      </c>
    </row>
    <row r="19" spans="1:9" hidden="1" x14ac:dyDescent="0.3">
      <c r="A19">
        <v>8121350</v>
      </c>
      <c r="B19">
        <v>1</v>
      </c>
      <c r="C19">
        <v>37</v>
      </c>
      <c r="D19">
        <v>11</v>
      </c>
      <c r="E19">
        <v>24</v>
      </c>
      <c r="F19">
        <v>39</v>
      </c>
      <c r="G19">
        <v>48</v>
      </c>
      <c r="H19">
        <v>160</v>
      </c>
      <c r="I19" s="2">
        <v>0.23125000000000001</v>
      </c>
    </row>
    <row r="20" spans="1:9" hidden="1" x14ac:dyDescent="0.3">
      <c r="A20">
        <v>8128835</v>
      </c>
      <c r="B20">
        <v>1</v>
      </c>
      <c r="C20">
        <v>9</v>
      </c>
      <c r="D20">
        <v>8</v>
      </c>
      <c r="E20">
        <v>33</v>
      </c>
      <c r="F20">
        <v>138</v>
      </c>
      <c r="G20">
        <v>190</v>
      </c>
      <c r="H20">
        <v>379</v>
      </c>
      <c r="I20" s="2">
        <v>2.3746701846965697E-2</v>
      </c>
    </row>
    <row r="21" spans="1:9" hidden="1" x14ac:dyDescent="0.3">
      <c r="A21">
        <v>8134889</v>
      </c>
      <c r="B21">
        <v>1</v>
      </c>
      <c r="C21">
        <v>8</v>
      </c>
      <c r="D21">
        <v>14</v>
      </c>
      <c r="E21">
        <v>33</v>
      </c>
      <c r="F21">
        <v>56</v>
      </c>
      <c r="G21">
        <v>95</v>
      </c>
      <c r="H21">
        <v>207</v>
      </c>
      <c r="I21" s="2">
        <v>3.864734299516908E-2</v>
      </c>
    </row>
    <row r="22" spans="1:9" hidden="1" x14ac:dyDescent="0.3">
      <c r="A22">
        <v>8175554</v>
      </c>
      <c r="B22">
        <v>1</v>
      </c>
      <c r="C22">
        <v>6</v>
      </c>
      <c r="D22">
        <v>3</v>
      </c>
      <c r="E22">
        <v>9</v>
      </c>
      <c r="F22">
        <v>24</v>
      </c>
      <c r="G22">
        <v>92</v>
      </c>
      <c r="H22">
        <v>135</v>
      </c>
      <c r="I22" s="2">
        <v>4.4444444444444446E-2</v>
      </c>
    </row>
    <row r="23" spans="1:9" hidden="1" x14ac:dyDescent="0.3">
      <c r="A23">
        <v>8178829</v>
      </c>
      <c r="B23">
        <v>1</v>
      </c>
      <c r="C23">
        <v>8</v>
      </c>
      <c r="D23">
        <v>7</v>
      </c>
      <c r="E23">
        <v>20</v>
      </c>
      <c r="F23">
        <v>68</v>
      </c>
      <c r="G23">
        <v>112</v>
      </c>
      <c r="H23">
        <v>216</v>
      </c>
      <c r="I23" s="2">
        <v>3.7037037037037035E-2</v>
      </c>
    </row>
    <row r="24" spans="1:9" hidden="1" x14ac:dyDescent="0.3">
      <c r="A24">
        <v>8179889</v>
      </c>
      <c r="B24">
        <v>1</v>
      </c>
      <c r="C24">
        <v>207</v>
      </c>
      <c r="D24">
        <v>92</v>
      </c>
      <c r="E24">
        <v>323</v>
      </c>
      <c r="F24">
        <v>241</v>
      </c>
      <c r="G24">
        <v>128</v>
      </c>
      <c r="H24">
        <v>992</v>
      </c>
      <c r="I24" s="2">
        <v>0.20866935483870969</v>
      </c>
    </row>
    <row r="25" spans="1:9" hidden="1" x14ac:dyDescent="0.3">
      <c r="A25">
        <v>8193074</v>
      </c>
      <c r="B25">
        <v>1</v>
      </c>
      <c r="C25">
        <v>10</v>
      </c>
      <c r="D25">
        <v>3</v>
      </c>
      <c r="E25">
        <v>13</v>
      </c>
      <c r="F25">
        <v>39</v>
      </c>
      <c r="G25">
        <v>92</v>
      </c>
      <c r="H25">
        <v>158</v>
      </c>
      <c r="I25" s="2">
        <v>6.3291139240506333E-2</v>
      </c>
    </row>
    <row r="26" spans="1:9" x14ac:dyDescent="0.3">
      <c r="A26">
        <v>8200826</v>
      </c>
      <c r="B26">
        <v>1</v>
      </c>
      <c r="C26">
        <v>134</v>
      </c>
      <c r="D26">
        <v>27</v>
      </c>
      <c r="E26">
        <v>33</v>
      </c>
      <c r="F26">
        <v>28</v>
      </c>
      <c r="G26">
        <v>36</v>
      </c>
      <c r="H26">
        <v>259</v>
      </c>
      <c r="I26" s="2">
        <v>0.51737451737451734</v>
      </c>
    </row>
    <row r="27" spans="1:9" hidden="1" x14ac:dyDescent="0.3">
      <c r="A27">
        <v>8201497</v>
      </c>
      <c r="B27">
        <v>1</v>
      </c>
      <c r="C27">
        <v>9</v>
      </c>
      <c r="D27">
        <v>8</v>
      </c>
      <c r="E27">
        <v>14</v>
      </c>
      <c r="F27">
        <v>18</v>
      </c>
      <c r="G27">
        <v>32</v>
      </c>
      <c r="H27">
        <v>82</v>
      </c>
      <c r="I27" s="2">
        <v>0.10975609756097561</v>
      </c>
    </row>
    <row r="28" spans="1:9" hidden="1" x14ac:dyDescent="0.3">
      <c r="A28">
        <v>8206493</v>
      </c>
      <c r="B28">
        <v>1</v>
      </c>
      <c r="C28">
        <v>7</v>
      </c>
      <c r="D28">
        <v>0</v>
      </c>
      <c r="E28">
        <v>4</v>
      </c>
      <c r="F28">
        <v>12</v>
      </c>
      <c r="G28">
        <v>64</v>
      </c>
      <c r="H28">
        <v>88</v>
      </c>
      <c r="I28" s="2">
        <v>7.9545454545454544E-2</v>
      </c>
    </row>
    <row r="29" spans="1:9" hidden="1" x14ac:dyDescent="0.3">
      <c r="A29">
        <v>8226547</v>
      </c>
      <c r="B29">
        <v>1</v>
      </c>
      <c r="C29">
        <v>10</v>
      </c>
      <c r="D29">
        <v>34</v>
      </c>
      <c r="E29">
        <v>68</v>
      </c>
      <c r="F29">
        <v>144</v>
      </c>
      <c r="G29">
        <v>204</v>
      </c>
      <c r="H29">
        <v>461</v>
      </c>
      <c r="I29" s="2">
        <v>2.1691973969631236E-2</v>
      </c>
    </row>
    <row r="30" spans="1:9" hidden="1" x14ac:dyDescent="0.3">
      <c r="A30">
        <v>8235032</v>
      </c>
      <c r="B30">
        <v>1</v>
      </c>
      <c r="C30">
        <v>12</v>
      </c>
      <c r="D30">
        <v>5</v>
      </c>
      <c r="E30">
        <v>5</v>
      </c>
      <c r="F30">
        <v>20</v>
      </c>
      <c r="G30">
        <v>119</v>
      </c>
      <c r="H30">
        <v>162</v>
      </c>
      <c r="I30" s="2">
        <v>7.407407407407407E-2</v>
      </c>
    </row>
    <row r="31" spans="1:9" hidden="1" x14ac:dyDescent="0.3">
      <c r="A31">
        <v>8236757</v>
      </c>
      <c r="B31">
        <v>1</v>
      </c>
      <c r="C31">
        <v>7</v>
      </c>
      <c r="D31">
        <v>1</v>
      </c>
      <c r="E31">
        <v>7</v>
      </c>
      <c r="F31">
        <v>16</v>
      </c>
      <c r="G31">
        <v>53</v>
      </c>
      <c r="H31">
        <v>85</v>
      </c>
      <c r="I31" s="2">
        <v>8.2352941176470587E-2</v>
      </c>
    </row>
    <row r="32" spans="1:9" hidden="1" x14ac:dyDescent="0.3">
      <c r="A32">
        <v>8237768</v>
      </c>
      <c r="B32">
        <v>1</v>
      </c>
      <c r="C32">
        <v>7</v>
      </c>
      <c r="D32">
        <v>6</v>
      </c>
      <c r="E32">
        <v>28</v>
      </c>
      <c r="F32">
        <v>55</v>
      </c>
      <c r="G32">
        <v>55</v>
      </c>
      <c r="H32">
        <v>152</v>
      </c>
      <c r="I32" s="2">
        <v>4.6052631578947366E-2</v>
      </c>
    </row>
    <row r="33" spans="1:9" hidden="1" x14ac:dyDescent="0.3">
      <c r="A33">
        <v>8247079</v>
      </c>
      <c r="B33">
        <v>1</v>
      </c>
      <c r="C33">
        <v>6</v>
      </c>
      <c r="D33">
        <v>14</v>
      </c>
      <c r="E33">
        <v>28</v>
      </c>
      <c r="F33">
        <v>60</v>
      </c>
      <c r="G33">
        <v>105</v>
      </c>
      <c r="H33">
        <v>214</v>
      </c>
      <c r="I33" s="2">
        <v>2.8037383177570093E-2</v>
      </c>
    </row>
    <row r="34" spans="1:9" hidden="1" x14ac:dyDescent="0.3">
      <c r="A34">
        <v>8255234</v>
      </c>
      <c r="B34">
        <v>1</v>
      </c>
      <c r="C34">
        <v>6</v>
      </c>
      <c r="D34">
        <v>12</v>
      </c>
      <c r="E34">
        <v>11</v>
      </c>
      <c r="F34">
        <v>23</v>
      </c>
      <c r="G34">
        <v>16</v>
      </c>
      <c r="H34">
        <v>69</v>
      </c>
      <c r="I34" s="2">
        <v>8.6956521739130432E-2</v>
      </c>
    </row>
    <row r="35" spans="1:9" hidden="1" x14ac:dyDescent="0.3">
      <c r="A35">
        <v>8271621</v>
      </c>
      <c r="B35">
        <v>1</v>
      </c>
      <c r="C35">
        <v>7</v>
      </c>
      <c r="D35">
        <v>4</v>
      </c>
      <c r="E35">
        <v>8</v>
      </c>
      <c r="F35">
        <v>5</v>
      </c>
      <c r="G35">
        <v>26</v>
      </c>
      <c r="H35">
        <v>51</v>
      </c>
      <c r="I35" s="2">
        <v>0.13725490196078433</v>
      </c>
    </row>
    <row r="36" spans="1:9" hidden="1" x14ac:dyDescent="0.3">
      <c r="A36">
        <v>8285725</v>
      </c>
      <c r="B36">
        <v>1</v>
      </c>
      <c r="C36">
        <v>15</v>
      </c>
      <c r="D36">
        <v>8</v>
      </c>
      <c r="E36">
        <v>14</v>
      </c>
      <c r="F36">
        <v>16</v>
      </c>
      <c r="G36">
        <v>53</v>
      </c>
      <c r="H36">
        <v>107</v>
      </c>
      <c r="I36" s="2">
        <v>0.14018691588785046</v>
      </c>
    </row>
    <row r="37" spans="1:9" hidden="1" x14ac:dyDescent="0.3">
      <c r="A37">
        <v>8310342</v>
      </c>
      <c r="B37">
        <v>1</v>
      </c>
      <c r="C37">
        <v>7</v>
      </c>
      <c r="D37">
        <v>6</v>
      </c>
      <c r="E37">
        <v>22</v>
      </c>
      <c r="F37">
        <v>38</v>
      </c>
      <c r="G37">
        <v>86</v>
      </c>
      <c r="H37">
        <v>160</v>
      </c>
      <c r="I37" s="2">
        <v>4.3749999999999997E-2</v>
      </c>
    </row>
    <row r="38" spans="1:9" hidden="1" x14ac:dyDescent="0.3">
      <c r="A38">
        <v>8320237</v>
      </c>
      <c r="B38">
        <v>1</v>
      </c>
      <c r="C38">
        <v>6</v>
      </c>
      <c r="D38">
        <v>6</v>
      </c>
      <c r="E38">
        <v>20</v>
      </c>
      <c r="F38">
        <v>30</v>
      </c>
      <c r="G38">
        <v>95</v>
      </c>
      <c r="H38">
        <v>158</v>
      </c>
      <c r="I38" s="2">
        <v>3.7974683544303799E-2</v>
      </c>
    </row>
    <row r="39" spans="1:9" hidden="1" x14ac:dyDescent="0.3">
      <c r="A39">
        <v>8321849</v>
      </c>
      <c r="B39">
        <v>1</v>
      </c>
      <c r="C39">
        <v>12</v>
      </c>
      <c r="D39">
        <v>9</v>
      </c>
      <c r="E39">
        <v>37</v>
      </c>
      <c r="F39">
        <v>47</v>
      </c>
      <c r="G39">
        <v>30</v>
      </c>
      <c r="H39">
        <v>136</v>
      </c>
      <c r="I39" s="2">
        <v>8.8235294117647065E-2</v>
      </c>
    </row>
    <row r="40" spans="1:9" hidden="1" x14ac:dyDescent="0.3">
      <c r="A40">
        <v>8359828</v>
      </c>
      <c r="B40">
        <v>1</v>
      </c>
      <c r="C40">
        <v>18</v>
      </c>
      <c r="D40">
        <v>22</v>
      </c>
      <c r="E40">
        <v>57</v>
      </c>
      <c r="F40">
        <v>134</v>
      </c>
      <c r="G40">
        <v>83</v>
      </c>
      <c r="H40">
        <v>315</v>
      </c>
      <c r="I40" s="2">
        <v>5.7142857142857141E-2</v>
      </c>
    </row>
    <row r="41" spans="1:9" hidden="1" x14ac:dyDescent="0.3">
      <c r="A41">
        <v>8361171</v>
      </c>
      <c r="B41">
        <v>1</v>
      </c>
      <c r="C41">
        <v>7</v>
      </c>
      <c r="D41">
        <v>6</v>
      </c>
      <c r="E41">
        <v>14</v>
      </c>
      <c r="F41">
        <v>17</v>
      </c>
      <c r="G41">
        <v>56</v>
      </c>
      <c r="H41">
        <v>101</v>
      </c>
      <c r="I41" s="2">
        <v>6.9306930693069313E-2</v>
      </c>
    </row>
    <row r="42" spans="1:9" hidden="1" x14ac:dyDescent="0.3">
      <c r="A42">
        <v>8369794</v>
      </c>
      <c r="B42">
        <v>1</v>
      </c>
      <c r="C42">
        <v>10</v>
      </c>
      <c r="D42">
        <v>20</v>
      </c>
      <c r="E42">
        <v>64</v>
      </c>
      <c r="F42">
        <v>83</v>
      </c>
      <c r="G42">
        <v>104</v>
      </c>
      <c r="H42">
        <v>282</v>
      </c>
      <c r="I42" s="2">
        <v>3.5460992907801421E-2</v>
      </c>
    </row>
    <row r="43" spans="1:9" hidden="1" x14ac:dyDescent="0.3">
      <c r="A43">
        <v>8378411</v>
      </c>
      <c r="B43">
        <v>1</v>
      </c>
      <c r="C43">
        <v>16</v>
      </c>
      <c r="D43">
        <v>23</v>
      </c>
      <c r="E43">
        <v>72</v>
      </c>
      <c r="F43">
        <v>138</v>
      </c>
      <c r="G43">
        <v>199</v>
      </c>
      <c r="H43">
        <v>449</v>
      </c>
      <c r="I43" s="2">
        <v>3.5634743875278395E-2</v>
      </c>
    </row>
    <row r="44" spans="1:9" hidden="1" x14ac:dyDescent="0.3">
      <c r="A44">
        <v>8396915</v>
      </c>
      <c r="B44">
        <v>1</v>
      </c>
      <c r="C44">
        <v>10</v>
      </c>
      <c r="D44">
        <v>5</v>
      </c>
      <c r="E44">
        <v>4</v>
      </c>
      <c r="F44">
        <v>2</v>
      </c>
      <c r="G44">
        <v>16</v>
      </c>
      <c r="H44">
        <v>38</v>
      </c>
      <c r="I44" s="2">
        <v>0.26315789473684209</v>
      </c>
    </row>
    <row r="45" spans="1:9" hidden="1" x14ac:dyDescent="0.3">
      <c r="A45">
        <v>8424259</v>
      </c>
      <c r="B45">
        <v>1</v>
      </c>
      <c r="C45">
        <v>8</v>
      </c>
      <c r="D45">
        <v>15</v>
      </c>
      <c r="E45">
        <v>20</v>
      </c>
      <c r="F45">
        <v>38</v>
      </c>
      <c r="G45">
        <v>97</v>
      </c>
      <c r="H45">
        <v>179</v>
      </c>
      <c r="I45" s="2">
        <v>4.4692737430167599E-2</v>
      </c>
    </row>
    <row r="46" spans="1:9" hidden="1" x14ac:dyDescent="0.3">
      <c r="A46">
        <v>8424678</v>
      </c>
      <c r="B46">
        <v>1</v>
      </c>
      <c r="C46">
        <v>8</v>
      </c>
      <c r="D46">
        <v>16</v>
      </c>
      <c r="E46">
        <v>28</v>
      </c>
      <c r="F46">
        <v>46</v>
      </c>
      <c r="G46">
        <v>74</v>
      </c>
      <c r="H46">
        <v>173</v>
      </c>
      <c r="I46" s="2">
        <v>4.6242774566473986E-2</v>
      </c>
    </row>
    <row r="47" spans="1:9" hidden="1" x14ac:dyDescent="0.3">
      <c r="A47">
        <v>8424810</v>
      </c>
      <c r="B47">
        <v>1</v>
      </c>
      <c r="C47">
        <v>6</v>
      </c>
      <c r="D47">
        <v>4</v>
      </c>
      <c r="E47">
        <v>28</v>
      </c>
      <c r="F47">
        <v>40</v>
      </c>
      <c r="G47">
        <v>63</v>
      </c>
      <c r="H47">
        <v>142</v>
      </c>
      <c r="I47" s="2">
        <v>4.2253521126760563E-2</v>
      </c>
    </row>
    <row r="48" spans="1:9" hidden="1" x14ac:dyDescent="0.3">
      <c r="A48">
        <v>8424878</v>
      </c>
      <c r="B48">
        <v>1</v>
      </c>
      <c r="C48">
        <v>49</v>
      </c>
      <c r="D48">
        <v>40</v>
      </c>
      <c r="E48">
        <v>16</v>
      </c>
      <c r="F48">
        <v>8</v>
      </c>
      <c r="G48">
        <v>42</v>
      </c>
      <c r="H48">
        <v>156</v>
      </c>
      <c r="I48" s="2">
        <v>0.3141025641025641</v>
      </c>
    </row>
    <row r="49" spans="1:9" hidden="1" x14ac:dyDescent="0.3">
      <c r="A49">
        <v>8427815</v>
      </c>
      <c r="B49">
        <v>1</v>
      </c>
      <c r="C49">
        <v>8</v>
      </c>
      <c r="D49">
        <v>10</v>
      </c>
      <c r="E49">
        <v>60</v>
      </c>
      <c r="F49">
        <v>128</v>
      </c>
      <c r="G49">
        <v>131</v>
      </c>
      <c r="H49">
        <v>338</v>
      </c>
      <c r="I49" s="2">
        <v>2.3668639053254437E-2</v>
      </c>
    </row>
    <row r="50" spans="1:9" hidden="1" x14ac:dyDescent="0.3">
      <c r="A50">
        <v>8428419</v>
      </c>
      <c r="B50">
        <v>1</v>
      </c>
      <c r="C50">
        <v>38</v>
      </c>
      <c r="D50">
        <v>62</v>
      </c>
      <c r="E50">
        <v>105</v>
      </c>
      <c r="F50">
        <v>207</v>
      </c>
      <c r="G50">
        <v>188</v>
      </c>
      <c r="H50">
        <v>601</v>
      </c>
      <c r="I50" s="2">
        <v>6.3227953410981697E-2</v>
      </c>
    </row>
    <row r="51" spans="1:9" hidden="1" x14ac:dyDescent="0.3">
      <c r="A51">
        <v>8428572</v>
      </c>
      <c r="B51">
        <v>1</v>
      </c>
      <c r="C51">
        <v>28</v>
      </c>
      <c r="D51">
        <v>166</v>
      </c>
      <c r="E51">
        <v>288</v>
      </c>
      <c r="F51">
        <v>535</v>
      </c>
      <c r="G51">
        <v>248</v>
      </c>
      <c r="H51">
        <v>1266</v>
      </c>
      <c r="I51" s="2">
        <v>2.2116903633491312E-2</v>
      </c>
    </row>
    <row r="52" spans="1:9" hidden="1" x14ac:dyDescent="0.3">
      <c r="A52">
        <v>8428664</v>
      </c>
      <c r="B52">
        <v>1</v>
      </c>
      <c r="C52">
        <v>25</v>
      </c>
      <c r="D52">
        <v>38</v>
      </c>
      <c r="E52">
        <v>88</v>
      </c>
      <c r="F52">
        <v>209</v>
      </c>
      <c r="G52">
        <v>162</v>
      </c>
      <c r="H52">
        <v>523</v>
      </c>
      <c r="I52" s="2">
        <v>4.780114722753346E-2</v>
      </c>
    </row>
    <row r="53" spans="1:9" hidden="1" x14ac:dyDescent="0.3">
      <c r="A53">
        <v>8430297</v>
      </c>
      <c r="B53">
        <v>1</v>
      </c>
      <c r="C53">
        <v>8</v>
      </c>
      <c r="D53">
        <v>8</v>
      </c>
      <c r="E53">
        <v>49</v>
      </c>
      <c r="F53">
        <v>24</v>
      </c>
      <c r="G53">
        <v>70</v>
      </c>
      <c r="H53">
        <v>160</v>
      </c>
      <c r="I53" s="2">
        <v>0.05</v>
      </c>
    </row>
    <row r="54" spans="1:9" hidden="1" x14ac:dyDescent="0.3">
      <c r="A54">
        <v>8430809</v>
      </c>
      <c r="B54">
        <v>1</v>
      </c>
      <c r="C54">
        <v>7</v>
      </c>
      <c r="D54">
        <v>7</v>
      </c>
      <c r="E54">
        <v>38</v>
      </c>
      <c r="F54">
        <v>87</v>
      </c>
      <c r="G54">
        <v>78</v>
      </c>
      <c r="H54">
        <v>218</v>
      </c>
      <c r="I54" s="2">
        <v>3.2110091743119268E-2</v>
      </c>
    </row>
    <row r="55" spans="1:9" hidden="1" x14ac:dyDescent="0.3">
      <c r="A55">
        <v>8431293</v>
      </c>
      <c r="B55">
        <v>1</v>
      </c>
      <c r="C55">
        <v>7</v>
      </c>
      <c r="D55">
        <v>4</v>
      </c>
      <c r="E55">
        <v>36</v>
      </c>
      <c r="F55">
        <v>62</v>
      </c>
      <c r="G55">
        <v>68</v>
      </c>
      <c r="H55">
        <v>178</v>
      </c>
      <c r="I55" s="2">
        <v>3.9325842696629212E-2</v>
      </c>
    </row>
    <row r="56" spans="1:9" hidden="1" x14ac:dyDescent="0.3">
      <c r="A56">
        <v>8432471</v>
      </c>
      <c r="B56">
        <v>1</v>
      </c>
      <c r="C56">
        <v>6</v>
      </c>
      <c r="D56">
        <v>17</v>
      </c>
      <c r="E56">
        <v>60</v>
      </c>
      <c r="F56">
        <v>119</v>
      </c>
      <c r="G56">
        <v>106</v>
      </c>
      <c r="H56">
        <v>309</v>
      </c>
      <c r="I56" s="2">
        <v>1.9417475728155338E-2</v>
      </c>
    </row>
    <row r="57" spans="1:9" hidden="1" x14ac:dyDescent="0.3">
      <c r="A57">
        <v>8432596</v>
      </c>
      <c r="B57">
        <v>1</v>
      </c>
      <c r="C57">
        <v>10</v>
      </c>
      <c r="D57">
        <v>7</v>
      </c>
      <c r="E57">
        <v>24</v>
      </c>
      <c r="F57">
        <v>97</v>
      </c>
      <c r="G57">
        <v>137</v>
      </c>
      <c r="H57">
        <v>276</v>
      </c>
      <c r="I57" s="2">
        <v>3.6231884057971016E-2</v>
      </c>
    </row>
    <row r="58" spans="1:9" hidden="1" x14ac:dyDescent="0.3">
      <c r="A58">
        <v>8446918</v>
      </c>
      <c r="B58">
        <v>1</v>
      </c>
      <c r="C58">
        <v>13</v>
      </c>
      <c r="D58">
        <v>38</v>
      </c>
      <c r="E58">
        <v>23</v>
      </c>
      <c r="F58">
        <v>5</v>
      </c>
      <c r="G58">
        <v>9</v>
      </c>
      <c r="H58">
        <v>89</v>
      </c>
      <c r="I58" s="2">
        <v>0.14606741573033707</v>
      </c>
    </row>
    <row r="59" spans="1:9" hidden="1" x14ac:dyDescent="0.3">
      <c r="A59">
        <v>8449519</v>
      </c>
      <c r="B59">
        <v>1</v>
      </c>
      <c r="C59">
        <v>14</v>
      </c>
      <c r="D59">
        <v>14</v>
      </c>
      <c r="E59">
        <v>55</v>
      </c>
      <c r="F59">
        <v>137</v>
      </c>
      <c r="G59">
        <v>199</v>
      </c>
      <c r="H59">
        <v>420</v>
      </c>
      <c r="I59" s="2">
        <v>3.3333333333333333E-2</v>
      </c>
    </row>
    <row r="60" spans="1:9" hidden="1" x14ac:dyDescent="0.3">
      <c r="A60">
        <v>8583510</v>
      </c>
      <c r="B60">
        <v>1</v>
      </c>
      <c r="C60">
        <v>12</v>
      </c>
      <c r="D60">
        <v>3</v>
      </c>
      <c r="E60">
        <v>23</v>
      </c>
      <c r="F60">
        <v>34</v>
      </c>
      <c r="G60">
        <v>75</v>
      </c>
      <c r="H60">
        <v>148</v>
      </c>
      <c r="I60" s="2">
        <v>8.1081081081081086E-2</v>
      </c>
    </row>
    <row r="61" spans="1:9" hidden="1" x14ac:dyDescent="0.3">
      <c r="A61">
        <v>10317649</v>
      </c>
      <c r="B61">
        <v>1</v>
      </c>
      <c r="C61">
        <v>7</v>
      </c>
      <c r="D61">
        <v>10</v>
      </c>
      <c r="E61">
        <v>20</v>
      </c>
      <c r="F61">
        <v>55</v>
      </c>
      <c r="G61">
        <v>131</v>
      </c>
      <c r="H61">
        <v>224</v>
      </c>
      <c r="I61" s="2">
        <v>3.125E-2</v>
      </c>
    </row>
    <row r="62" spans="1:9" hidden="1" x14ac:dyDescent="0.3">
      <c r="A62">
        <v>10335317</v>
      </c>
      <c r="B62">
        <v>1</v>
      </c>
      <c r="C62">
        <v>12</v>
      </c>
      <c r="D62">
        <v>17</v>
      </c>
      <c r="E62">
        <v>75</v>
      </c>
      <c r="F62">
        <v>70</v>
      </c>
      <c r="G62">
        <v>63</v>
      </c>
      <c r="H62">
        <v>238</v>
      </c>
      <c r="I62" s="2">
        <v>5.0420168067226892E-2</v>
      </c>
    </row>
    <row r="63" spans="1:9" hidden="1" x14ac:dyDescent="0.3">
      <c r="A63">
        <v>10364903</v>
      </c>
      <c r="B63">
        <v>1</v>
      </c>
      <c r="C63">
        <v>6</v>
      </c>
      <c r="D63">
        <v>11</v>
      </c>
      <c r="E63">
        <v>21</v>
      </c>
      <c r="F63">
        <v>20</v>
      </c>
      <c r="G63">
        <v>47</v>
      </c>
      <c r="H63">
        <v>106</v>
      </c>
      <c r="I63" s="2">
        <v>5.6603773584905662E-2</v>
      </c>
    </row>
    <row r="64" spans="1:9" hidden="1" x14ac:dyDescent="0.3">
      <c r="A64">
        <v>10636328</v>
      </c>
      <c r="B64">
        <v>1</v>
      </c>
      <c r="C64">
        <v>8</v>
      </c>
      <c r="D64">
        <v>9</v>
      </c>
      <c r="E64">
        <v>27</v>
      </c>
      <c r="F64">
        <v>86</v>
      </c>
      <c r="G64">
        <v>107</v>
      </c>
      <c r="H64">
        <v>238</v>
      </c>
      <c r="I64" s="2">
        <v>3.3613445378151259E-2</v>
      </c>
    </row>
    <row r="65" spans="1:9" hidden="1" x14ac:dyDescent="0.3">
      <c r="A65">
        <v>10694274</v>
      </c>
      <c r="B65">
        <v>1</v>
      </c>
      <c r="C65">
        <v>13</v>
      </c>
      <c r="D65">
        <v>4</v>
      </c>
      <c r="E65">
        <v>41</v>
      </c>
      <c r="F65">
        <v>151</v>
      </c>
      <c r="G65">
        <v>179</v>
      </c>
      <c r="H65">
        <v>389</v>
      </c>
      <c r="I65" s="2">
        <v>3.3419023136246784E-2</v>
      </c>
    </row>
    <row r="66" spans="1:9" hidden="1" x14ac:dyDescent="0.3">
      <c r="A66">
        <v>10708646</v>
      </c>
      <c r="B66">
        <v>1</v>
      </c>
      <c r="C66">
        <v>10</v>
      </c>
      <c r="D66">
        <v>4</v>
      </c>
      <c r="E66">
        <v>11</v>
      </c>
      <c r="F66">
        <v>25</v>
      </c>
      <c r="G66">
        <v>30</v>
      </c>
      <c r="H66">
        <v>81</v>
      </c>
      <c r="I66" s="2">
        <v>0.12345679012345678</v>
      </c>
    </row>
    <row r="67" spans="1:9" hidden="1" x14ac:dyDescent="0.3">
      <c r="A67">
        <v>10783567</v>
      </c>
      <c r="B67">
        <v>1</v>
      </c>
      <c r="C67">
        <v>6</v>
      </c>
      <c r="D67">
        <v>5</v>
      </c>
      <c r="E67">
        <v>13</v>
      </c>
      <c r="F67">
        <v>34</v>
      </c>
      <c r="G67">
        <v>30</v>
      </c>
      <c r="H67">
        <v>89</v>
      </c>
      <c r="I67" s="2">
        <v>6.741573033707865E-2</v>
      </c>
    </row>
    <row r="68" spans="1:9" hidden="1" x14ac:dyDescent="0.3">
      <c r="A68">
        <v>10843360</v>
      </c>
      <c r="B68">
        <v>1</v>
      </c>
      <c r="C68">
        <v>20</v>
      </c>
      <c r="D68">
        <v>13</v>
      </c>
      <c r="E68">
        <v>23</v>
      </c>
      <c r="F68">
        <v>62</v>
      </c>
      <c r="G68">
        <v>119</v>
      </c>
      <c r="H68">
        <v>238</v>
      </c>
      <c r="I68" s="2">
        <v>8.4033613445378158E-2</v>
      </c>
    </row>
    <row r="69" spans="1:9" hidden="1" x14ac:dyDescent="0.3">
      <c r="A69">
        <v>11025452</v>
      </c>
      <c r="B69">
        <v>1</v>
      </c>
      <c r="C69">
        <v>9</v>
      </c>
      <c r="D69">
        <v>8</v>
      </c>
      <c r="E69">
        <v>22</v>
      </c>
      <c r="F69">
        <v>31</v>
      </c>
      <c r="G69">
        <v>46</v>
      </c>
      <c r="H69">
        <v>117</v>
      </c>
      <c r="I69" s="2">
        <v>7.6923076923076927E-2</v>
      </c>
    </row>
    <row r="70" spans="1:9" hidden="1" x14ac:dyDescent="0.3">
      <c r="A70">
        <v>11059549</v>
      </c>
      <c r="B70">
        <v>1</v>
      </c>
      <c r="C70">
        <v>12</v>
      </c>
      <c r="D70">
        <v>22</v>
      </c>
      <c r="E70">
        <v>60</v>
      </c>
      <c r="F70">
        <v>128</v>
      </c>
      <c r="G70">
        <v>196</v>
      </c>
      <c r="H70">
        <v>419</v>
      </c>
      <c r="I70" s="2">
        <v>2.8639618138424822E-2</v>
      </c>
    </row>
    <row r="71" spans="1:9" hidden="1" x14ac:dyDescent="0.3">
      <c r="A71">
        <v>11075825</v>
      </c>
      <c r="B71">
        <v>1</v>
      </c>
      <c r="C71">
        <v>15</v>
      </c>
      <c r="D71">
        <v>10</v>
      </c>
      <c r="E71">
        <v>46</v>
      </c>
      <c r="F71">
        <v>71</v>
      </c>
      <c r="G71">
        <v>88</v>
      </c>
      <c r="H71">
        <v>231</v>
      </c>
      <c r="I71" s="2">
        <v>6.4935064935064929E-2</v>
      </c>
    </row>
    <row r="72" spans="1:9" hidden="1" x14ac:dyDescent="0.3">
      <c r="A72">
        <v>11080699</v>
      </c>
      <c r="B72">
        <v>1</v>
      </c>
      <c r="C72">
        <v>6</v>
      </c>
      <c r="D72">
        <v>9</v>
      </c>
      <c r="E72">
        <v>12</v>
      </c>
      <c r="F72">
        <v>32</v>
      </c>
      <c r="G72">
        <v>100</v>
      </c>
      <c r="H72">
        <v>160</v>
      </c>
      <c r="I72" s="2">
        <v>3.7499999999999999E-2</v>
      </c>
    </row>
    <row r="73" spans="1:9" hidden="1" x14ac:dyDescent="0.3">
      <c r="A73">
        <v>11091449</v>
      </c>
      <c r="B73">
        <v>1</v>
      </c>
      <c r="C73">
        <v>9</v>
      </c>
      <c r="D73">
        <v>5</v>
      </c>
      <c r="E73">
        <v>36</v>
      </c>
      <c r="F73">
        <v>92</v>
      </c>
      <c r="G73">
        <v>177</v>
      </c>
      <c r="H73">
        <v>320</v>
      </c>
      <c r="I73" s="2">
        <v>2.8125000000000001E-2</v>
      </c>
    </row>
    <row r="74" spans="1:9" hidden="1" x14ac:dyDescent="0.3">
      <c r="A74">
        <v>11111299</v>
      </c>
      <c r="B74">
        <v>1</v>
      </c>
      <c r="C74">
        <v>8</v>
      </c>
      <c r="D74">
        <v>7</v>
      </c>
      <c r="E74">
        <v>28</v>
      </c>
      <c r="F74">
        <v>33</v>
      </c>
      <c r="G74">
        <v>52</v>
      </c>
      <c r="H74">
        <v>129</v>
      </c>
      <c r="I74" s="2">
        <v>6.2015503875968991E-2</v>
      </c>
    </row>
    <row r="75" spans="1:9" hidden="1" x14ac:dyDescent="0.3">
      <c r="A75">
        <v>11122972</v>
      </c>
      <c r="B75">
        <v>1</v>
      </c>
      <c r="C75">
        <v>14</v>
      </c>
      <c r="D75">
        <v>43</v>
      </c>
      <c r="E75">
        <v>112</v>
      </c>
      <c r="F75">
        <v>261</v>
      </c>
      <c r="G75">
        <v>198</v>
      </c>
      <c r="H75">
        <v>629</v>
      </c>
      <c r="I75" s="2">
        <v>2.2257551669316374E-2</v>
      </c>
    </row>
    <row r="76" spans="1:9" hidden="1" x14ac:dyDescent="0.3">
      <c r="A76">
        <v>11148165</v>
      </c>
      <c r="B76">
        <v>1</v>
      </c>
      <c r="C76">
        <v>7</v>
      </c>
      <c r="D76">
        <v>10</v>
      </c>
      <c r="E76">
        <v>41</v>
      </c>
      <c r="F76">
        <v>109</v>
      </c>
      <c r="G76">
        <v>139</v>
      </c>
      <c r="H76">
        <v>307</v>
      </c>
      <c r="I76" s="2">
        <v>2.2801302931596091E-2</v>
      </c>
    </row>
    <row r="77" spans="1:9" hidden="1" x14ac:dyDescent="0.3">
      <c r="A77">
        <v>11167825</v>
      </c>
      <c r="B77">
        <v>1</v>
      </c>
      <c r="C77">
        <v>11</v>
      </c>
      <c r="D77">
        <v>28</v>
      </c>
      <c r="E77">
        <v>46</v>
      </c>
      <c r="F77">
        <v>104</v>
      </c>
      <c r="G77">
        <v>149</v>
      </c>
      <c r="H77">
        <v>339</v>
      </c>
      <c r="I77" s="2">
        <v>3.2448377581120944E-2</v>
      </c>
    </row>
    <row r="78" spans="1:9" hidden="1" x14ac:dyDescent="0.3">
      <c r="A78">
        <v>11230700</v>
      </c>
      <c r="B78">
        <v>1</v>
      </c>
      <c r="C78">
        <v>6</v>
      </c>
      <c r="D78">
        <v>10</v>
      </c>
      <c r="E78">
        <v>6</v>
      </c>
      <c r="F78">
        <v>3</v>
      </c>
      <c r="G78">
        <v>39</v>
      </c>
      <c r="H78">
        <v>65</v>
      </c>
      <c r="I78" s="2">
        <v>9.2307692307692313E-2</v>
      </c>
    </row>
    <row r="79" spans="1:9" hidden="1" x14ac:dyDescent="0.3">
      <c r="A79">
        <v>11431095</v>
      </c>
      <c r="B79">
        <v>1</v>
      </c>
      <c r="C79">
        <v>21</v>
      </c>
      <c r="D79">
        <v>12</v>
      </c>
      <c r="E79">
        <v>58</v>
      </c>
      <c r="F79">
        <v>98</v>
      </c>
      <c r="G79">
        <v>110</v>
      </c>
      <c r="H79">
        <v>300</v>
      </c>
      <c r="I79" s="2">
        <v>7.0000000000000007E-2</v>
      </c>
    </row>
    <row r="80" spans="1:9" hidden="1" x14ac:dyDescent="0.3">
      <c r="A80">
        <v>11499051</v>
      </c>
      <c r="B80">
        <v>1</v>
      </c>
      <c r="C80">
        <v>11</v>
      </c>
      <c r="D80">
        <v>7</v>
      </c>
      <c r="E80">
        <v>13</v>
      </c>
      <c r="F80">
        <v>25</v>
      </c>
      <c r="G80">
        <v>115</v>
      </c>
      <c r="H80">
        <v>172</v>
      </c>
      <c r="I80" s="2">
        <v>6.3953488372093026E-2</v>
      </c>
    </row>
    <row r="81" spans="1:9" hidden="1" x14ac:dyDescent="0.3">
      <c r="A81">
        <v>11513748</v>
      </c>
      <c r="B81">
        <v>1</v>
      </c>
      <c r="C81">
        <v>7</v>
      </c>
      <c r="D81">
        <v>14</v>
      </c>
      <c r="E81">
        <v>24</v>
      </c>
      <c r="F81">
        <v>66</v>
      </c>
      <c r="G81">
        <v>108</v>
      </c>
      <c r="H81">
        <v>220</v>
      </c>
      <c r="I81" s="2">
        <v>3.1818181818181815E-2</v>
      </c>
    </row>
    <row r="82" spans="1:9" hidden="1" x14ac:dyDescent="0.3">
      <c r="A82">
        <v>11693237</v>
      </c>
      <c r="B82">
        <v>1</v>
      </c>
      <c r="C82">
        <v>12</v>
      </c>
      <c r="D82">
        <v>16</v>
      </c>
      <c r="E82">
        <v>26</v>
      </c>
      <c r="F82">
        <v>4</v>
      </c>
      <c r="G82">
        <v>31</v>
      </c>
      <c r="H82">
        <v>90</v>
      </c>
      <c r="I82" s="2">
        <v>0.13333333333333333</v>
      </c>
    </row>
    <row r="83" spans="1:9" hidden="1" x14ac:dyDescent="0.3">
      <c r="A83">
        <v>11699866</v>
      </c>
      <c r="B83">
        <v>1</v>
      </c>
      <c r="C83">
        <v>6</v>
      </c>
      <c r="D83">
        <v>6</v>
      </c>
      <c r="E83">
        <v>15</v>
      </c>
      <c r="F83">
        <v>15</v>
      </c>
      <c r="G83">
        <v>46</v>
      </c>
      <c r="H83">
        <v>89</v>
      </c>
      <c r="I83" s="2">
        <v>6.741573033707865E-2</v>
      </c>
    </row>
    <row r="84" spans="1:9" hidden="1" x14ac:dyDescent="0.3">
      <c r="A84">
        <v>11750387</v>
      </c>
      <c r="B84">
        <v>1</v>
      </c>
      <c r="C84">
        <v>7</v>
      </c>
      <c r="D84">
        <v>4</v>
      </c>
      <c r="E84">
        <v>13</v>
      </c>
      <c r="F84">
        <v>48</v>
      </c>
      <c r="G84">
        <v>134</v>
      </c>
      <c r="H84">
        <v>207</v>
      </c>
      <c r="I84" s="2">
        <v>3.3816425120772944E-2</v>
      </c>
    </row>
    <row r="85" spans="1:9" hidden="1" x14ac:dyDescent="0.3">
      <c r="A85">
        <v>11798380</v>
      </c>
      <c r="B85">
        <v>1</v>
      </c>
      <c r="C85">
        <v>7</v>
      </c>
      <c r="D85">
        <v>1</v>
      </c>
      <c r="E85">
        <v>3</v>
      </c>
      <c r="F85">
        <v>6</v>
      </c>
      <c r="G85">
        <v>28</v>
      </c>
      <c r="H85">
        <v>46</v>
      </c>
      <c r="I85" s="2">
        <v>0.15217391304347827</v>
      </c>
    </row>
    <row r="86" spans="1:9" hidden="1" x14ac:dyDescent="0.3">
      <c r="A86">
        <v>11916860</v>
      </c>
      <c r="B86">
        <v>1</v>
      </c>
      <c r="C86">
        <v>14</v>
      </c>
      <c r="D86">
        <v>4</v>
      </c>
      <c r="E86">
        <v>0</v>
      </c>
      <c r="F86">
        <v>8</v>
      </c>
      <c r="G86">
        <v>21</v>
      </c>
      <c r="H86">
        <v>48</v>
      </c>
      <c r="I86" s="2">
        <v>0.29166666666666669</v>
      </c>
    </row>
    <row r="87" spans="1:9" hidden="1" x14ac:dyDescent="0.3">
      <c r="A87">
        <v>12031525</v>
      </c>
      <c r="B87">
        <v>1</v>
      </c>
      <c r="C87">
        <v>8</v>
      </c>
      <c r="D87">
        <v>3</v>
      </c>
      <c r="E87">
        <v>7</v>
      </c>
      <c r="F87">
        <v>41</v>
      </c>
      <c r="G87">
        <v>146</v>
      </c>
      <c r="H87">
        <v>206</v>
      </c>
      <c r="I87" s="2">
        <v>3.8834951456310676E-2</v>
      </c>
    </row>
    <row r="88" spans="1:9" hidden="1" x14ac:dyDescent="0.3">
      <c r="A88">
        <v>12178060</v>
      </c>
      <c r="B88">
        <v>1</v>
      </c>
      <c r="C88">
        <v>6</v>
      </c>
      <c r="D88">
        <v>4</v>
      </c>
      <c r="E88">
        <v>19</v>
      </c>
      <c r="F88">
        <v>70</v>
      </c>
      <c r="G88">
        <v>158</v>
      </c>
      <c r="H88">
        <v>258</v>
      </c>
      <c r="I88" s="2">
        <v>2.3255813953488372E-2</v>
      </c>
    </row>
    <row r="89" spans="1:9" hidden="1" x14ac:dyDescent="0.3">
      <c r="A89">
        <v>12566023</v>
      </c>
      <c r="B89">
        <v>1</v>
      </c>
      <c r="C89">
        <v>49</v>
      </c>
      <c r="D89">
        <v>30</v>
      </c>
      <c r="E89">
        <v>102</v>
      </c>
      <c r="F89">
        <v>143</v>
      </c>
      <c r="G89">
        <v>113</v>
      </c>
      <c r="H89">
        <v>438</v>
      </c>
      <c r="I89" s="2">
        <v>0.11187214611872145</v>
      </c>
    </row>
    <row r="90" spans="1:9" hidden="1" x14ac:dyDescent="0.3">
      <c r="A90">
        <v>12687349</v>
      </c>
      <c r="B90">
        <v>1</v>
      </c>
      <c r="C90">
        <v>13</v>
      </c>
      <c r="D90">
        <v>9</v>
      </c>
      <c r="E90">
        <v>18</v>
      </c>
      <c r="F90">
        <v>67</v>
      </c>
      <c r="G90">
        <v>120</v>
      </c>
      <c r="H90">
        <v>228</v>
      </c>
      <c r="I90" s="2">
        <v>5.701754385964912E-2</v>
      </c>
    </row>
    <row r="91" spans="1:9" hidden="1" x14ac:dyDescent="0.3">
      <c r="A91">
        <v>12704145</v>
      </c>
      <c r="B91">
        <v>1</v>
      </c>
      <c r="C91">
        <v>6</v>
      </c>
      <c r="D91">
        <v>13</v>
      </c>
      <c r="E91">
        <v>43</v>
      </c>
      <c r="F91">
        <v>51</v>
      </c>
      <c r="G91">
        <v>86</v>
      </c>
      <c r="H91">
        <v>200</v>
      </c>
      <c r="I91" s="2">
        <v>0.03</v>
      </c>
    </row>
    <row r="92" spans="1:9" hidden="1" x14ac:dyDescent="0.3">
      <c r="A92">
        <v>12777788</v>
      </c>
      <c r="B92">
        <v>1</v>
      </c>
      <c r="C92">
        <v>9</v>
      </c>
      <c r="D92">
        <v>2</v>
      </c>
      <c r="E92">
        <v>1</v>
      </c>
      <c r="F92">
        <v>4</v>
      </c>
      <c r="G92">
        <v>28</v>
      </c>
      <c r="H92">
        <v>45</v>
      </c>
      <c r="I92" s="2">
        <v>0.2</v>
      </c>
    </row>
    <row r="93" spans="1:9" hidden="1" x14ac:dyDescent="0.3">
      <c r="A93">
        <v>12832287</v>
      </c>
      <c r="B93">
        <v>1</v>
      </c>
      <c r="C93">
        <v>9</v>
      </c>
      <c r="D93">
        <v>17</v>
      </c>
      <c r="E93">
        <v>44</v>
      </c>
      <c r="F93">
        <v>156</v>
      </c>
      <c r="G93">
        <v>110</v>
      </c>
      <c r="H93">
        <v>337</v>
      </c>
      <c r="I93" s="2">
        <v>2.6706231454005934E-2</v>
      </c>
    </row>
    <row r="94" spans="1:9" hidden="1" x14ac:dyDescent="0.3">
      <c r="A94">
        <v>13111206</v>
      </c>
      <c r="B94">
        <v>1</v>
      </c>
      <c r="C94">
        <v>6</v>
      </c>
      <c r="D94">
        <v>2</v>
      </c>
      <c r="E94">
        <v>11</v>
      </c>
      <c r="F94">
        <v>37</v>
      </c>
      <c r="G94">
        <v>104</v>
      </c>
      <c r="H94">
        <v>161</v>
      </c>
      <c r="I94" s="2">
        <v>3.7267080745341616E-2</v>
      </c>
    </row>
    <row r="95" spans="1:9" hidden="1" x14ac:dyDescent="0.3">
      <c r="A95">
        <v>13918923</v>
      </c>
      <c r="B95">
        <v>1</v>
      </c>
      <c r="C95">
        <v>8</v>
      </c>
      <c r="D95">
        <v>2</v>
      </c>
      <c r="E95">
        <v>2</v>
      </c>
      <c r="F95">
        <v>9</v>
      </c>
      <c r="G95">
        <v>15</v>
      </c>
      <c r="H95">
        <v>37</v>
      </c>
      <c r="I95" s="2">
        <v>0.21621621621621623</v>
      </c>
    </row>
    <row r="96" spans="1:9" hidden="1" x14ac:dyDescent="0.3">
      <c r="A96">
        <v>13936325</v>
      </c>
      <c r="B96">
        <v>1</v>
      </c>
      <c r="C96">
        <v>21</v>
      </c>
      <c r="D96">
        <v>26</v>
      </c>
      <c r="E96">
        <v>59</v>
      </c>
      <c r="F96">
        <v>67</v>
      </c>
      <c r="G96">
        <v>67</v>
      </c>
      <c r="H96">
        <v>241</v>
      </c>
      <c r="I96" s="2">
        <v>8.7136929460580909E-2</v>
      </c>
    </row>
    <row r="97" spans="1:9" hidden="1" x14ac:dyDescent="0.3">
      <c r="A97">
        <v>14256284</v>
      </c>
      <c r="B97">
        <v>1</v>
      </c>
      <c r="C97">
        <v>6</v>
      </c>
      <c r="D97">
        <v>13</v>
      </c>
      <c r="E97">
        <v>60</v>
      </c>
      <c r="F97">
        <v>57</v>
      </c>
      <c r="G97">
        <v>58</v>
      </c>
      <c r="H97">
        <v>195</v>
      </c>
      <c r="I97" s="2">
        <v>3.0769230769230771E-2</v>
      </c>
    </row>
    <row r="98" spans="1:9" hidden="1" x14ac:dyDescent="0.3">
      <c r="A98">
        <v>14322516</v>
      </c>
      <c r="B98">
        <v>1</v>
      </c>
      <c r="C98">
        <v>6</v>
      </c>
      <c r="D98">
        <v>1</v>
      </c>
      <c r="E98">
        <v>2</v>
      </c>
      <c r="F98">
        <v>6</v>
      </c>
      <c r="G98">
        <v>16</v>
      </c>
      <c r="H98">
        <v>32</v>
      </c>
      <c r="I98" s="2">
        <v>0.1875</v>
      </c>
    </row>
    <row r="99" spans="1:9" hidden="1" x14ac:dyDescent="0.3">
      <c r="A99">
        <v>14364104</v>
      </c>
      <c r="B99">
        <v>1</v>
      </c>
      <c r="C99">
        <v>6</v>
      </c>
      <c r="D99">
        <v>5</v>
      </c>
      <c r="E99">
        <v>37</v>
      </c>
      <c r="F99">
        <v>116</v>
      </c>
      <c r="G99">
        <v>166</v>
      </c>
      <c r="H99">
        <v>331</v>
      </c>
      <c r="I99" s="2">
        <v>1.812688821752266E-2</v>
      </c>
    </row>
    <row r="100" spans="1:9" hidden="1" x14ac:dyDescent="0.3">
      <c r="A100">
        <v>14743148</v>
      </c>
      <c r="B100">
        <v>1</v>
      </c>
      <c r="C100">
        <v>9</v>
      </c>
      <c r="D100">
        <v>7</v>
      </c>
      <c r="E100">
        <v>20</v>
      </c>
      <c r="F100">
        <v>65</v>
      </c>
      <c r="G100">
        <v>107</v>
      </c>
      <c r="H100">
        <v>209</v>
      </c>
      <c r="I100" s="2">
        <v>4.3062200956937802E-2</v>
      </c>
    </row>
    <row r="101" spans="1:9" hidden="1" x14ac:dyDescent="0.3">
      <c r="A101">
        <v>14758607</v>
      </c>
      <c r="B101">
        <v>1</v>
      </c>
      <c r="C101">
        <v>18</v>
      </c>
      <c r="D101">
        <v>24</v>
      </c>
      <c r="E101">
        <v>78</v>
      </c>
      <c r="F101">
        <v>115</v>
      </c>
      <c r="G101">
        <v>145</v>
      </c>
      <c r="H101">
        <v>381</v>
      </c>
      <c r="I101" s="2">
        <v>4.7244094488188976E-2</v>
      </c>
    </row>
    <row r="102" spans="1:9" hidden="1" x14ac:dyDescent="0.3">
      <c r="A102">
        <v>14917421</v>
      </c>
      <c r="B102">
        <v>1</v>
      </c>
      <c r="C102">
        <v>33</v>
      </c>
      <c r="D102">
        <v>20</v>
      </c>
      <c r="E102">
        <v>42</v>
      </c>
      <c r="F102">
        <v>106</v>
      </c>
      <c r="G102">
        <v>133</v>
      </c>
      <c r="H102">
        <v>335</v>
      </c>
      <c r="I102" s="2">
        <v>9.8507462686567168E-2</v>
      </c>
    </row>
    <row r="103" spans="1:9" hidden="1" x14ac:dyDescent="0.3">
      <c r="A103">
        <v>14941663</v>
      </c>
      <c r="B103">
        <v>1</v>
      </c>
      <c r="C103">
        <v>6</v>
      </c>
      <c r="D103">
        <v>2</v>
      </c>
      <c r="E103">
        <v>34</v>
      </c>
      <c r="F103">
        <v>32</v>
      </c>
      <c r="G103">
        <v>56</v>
      </c>
      <c r="H103">
        <v>131</v>
      </c>
      <c r="I103" s="2">
        <v>4.5801526717557252E-2</v>
      </c>
    </row>
    <row r="104" spans="1:9" hidden="1" x14ac:dyDescent="0.3">
      <c r="A104">
        <v>15184786</v>
      </c>
      <c r="B104">
        <v>1</v>
      </c>
      <c r="C104">
        <v>17</v>
      </c>
      <c r="D104">
        <v>42</v>
      </c>
      <c r="E104">
        <v>219</v>
      </c>
      <c r="F104">
        <v>243</v>
      </c>
      <c r="G104">
        <v>140</v>
      </c>
      <c r="H104">
        <v>662</v>
      </c>
      <c r="I104" s="2">
        <v>2.5679758308157101E-2</v>
      </c>
    </row>
    <row r="105" spans="1:9" hidden="1" x14ac:dyDescent="0.3">
      <c r="A105">
        <v>15216957</v>
      </c>
      <c r="B105">
        <v>1</v>
      </c>
      <c r="C105">
        <v>26</v>
      </c>
      <c r="D105">
        <v>14</v>
      </c>
      <c r="E105">
        <v>139</v>
      </c>
      <c r="F105">
        <v>154</v>
      </c>
      <c r="G105">
        <v>107</v>
      </c>
      <c r="H105">
        <v>441</v>
      </c>
      <c r="I105" s="2">
        <v>5.8956916099773243E-2</v>
      </c>
    </row>
    <row r="106" spans="1:9" hidden="1" x14ac:dyDescent="0.3">
      <c r="A106">
        <v>15341125</v>
      </c>
      <c r="B106">
        <v>1</v>
      </c>
      <c r="C106">
        <v>6</v>
      </c>
      <c r="D106">
        <v>1</v>
      </c>
      <c r="E106">
        <v>4</v>
      </c>
      <c r="F106">
        <v>13</v>
      </c>
      <c r="G106">
        <v>41</v>
      </c>
      <c r="H106">
        <v>66</v>
      </c>
      <c r="I106" s="2">
        <v>9.0909090909090912E-2</v>
      </c>
    </row>
    <row r="107" spans="1:9" hidden="1" x14ac:dyDescent="0.3">
      <c r="A107">
        <v>15723349</v>
      </c>
      <c r="B107">
        <v>1</v>
      </c>
      <c r="C107">
        <v>26</v>
      </c>
      <c r="D107">
        <v>42</v>
      </c>
      <c r="E107">
        <v>166</v>
      </c>
      <c r="F107">
        <v>284</v>
      </c>
      <c r="G107">
        <v>106</v>
      </c>
      <c r="H107">
        <v>625</v>
      </c>
      <c r="I107" s="2">
        <v>4.1599999999999998E-2</v>
      </c>
    </row>
    <row r="108" spans="1:9" hidden="1" x14ac:dyDescent="0.3">
      <c r="A108">
        <v>15782291</v>
      </c>
      <c r="B108">
        <v>1</v>
      </c>
      <c r="C108">
        <v>11</v>
      </c>
      <c r="D108">
        <v>5</v>
      </c>
      <c r="E108">
        <v>11</v>
      </c>
      <c r="F108">
        <v>14</v>
      </c>
      <c r="G108">
        <v>40</v>
      </c>
      <c r="H108">
        <v>82</v>
      </c>
      <c r="I108" s="2">
        <v>0.13414634146341464</v>
      </c>
    </row>
    <row r="109" spans="1:9" hidden="1" x14ac:dyDescent="0.3">
      <c r="A109">
        <v>15889025</v>
      </c>
      <c r="B109">
        <v>1</v>
      </c>
      <c r="C109">
        <v>6</v>
      </c>
      <c r="D109">
        <v>1</v>
      </c>
      <c r="E109">
        <v>2</v>
      </c>
      <c r="F109">
        <v>6</v>
      </c>
      <c r="G109">
        <v>26</v>
      </c>
      <c r="H109">
        <v>42</v>
      </c>
      <c r="I109" s="2">
        <v>0.14285714285714285</v>
      </c>
    </row>
    <row r="110" spans="1:9" hidden="1" x14ac:dyDescent="0.3">
      <c r="A110">
        <v>15943569</v>
      </c>
      <c r="B110">
        <v>1</v>
      </c>
      <c r="C110">
        <v>13</v>
      </c>
      <c r="D110">
        <v>14</v>
      </c>
      <c r="E110">
        <v>40</v>
      </c>
      <c r="F110">
        <v>72</v>
      </c>
      <c r="G110">
        <v>97</v>
      </c>
      <c r="H110">
        <v>237</v>
      </c>
      <c r="I110" s="2">
        <v>5.4852320675105488E-2</v>
      </c>
    </row>
    <row r="111" spans="1:9" hidden="1" x14ac:dyDescent="0.3">
      <c r="A111">
        <v>15960625</v>
      </c>
      <c r="B111">
        <v>1</v>
      </c>
      <c r="C111">
        <v>6</v>
      </c>
      <c r="D111">
        <v>12</v>
      </c>
      <c r="E111">
        <v>7</v>
      </c>
      <c r="F111">
        <v>7</v>
      </c>
      <c r="G111">
        <v>43</v>
      </c>
      <c r="H111">
        <v>76</v>
      </c>
      <c r="I111" s="2">
        <v>7.8947368421052627E-2</v>
      </c>
    </row>
    <row r="112" spans="1:9" hidden="1" x14ac:dyDescent="0.3">
      <c r="A112">
        <v>16054660</v>
      </c>
      <c r="B112">
        <v>1</v>
      </c>
      <c r="C112">
        <v>18</v>
      </c>
      <c r="D112">
        <v>16</v>
      </c>
      <c r="E112">
        <v>58</v>
      </c>
      <c r="F112">
        <v>124</v>
      </c>
      <c r="G112">
        <v>105</v>
      </c>
      <c r="H112">
        <v>322</v>
      </c>
      <c r="I112" s="2">
        <v>5.5900621118012424E-2</v>
      </c>
    </row>
    <row r="113" spans="1:9" hidden="1" x14ac:dyDescent="0.3">
      <c r="A113">
        <v>16252811</v>
      </c>
      <c r="B113">
        <v>1</v>
      </c>
      <c r="C113">
        <v>8</v>
      </c>
      <c r="D113">
        <v>10</v>
      </c>
      <c r="E113">
        <v>36</v>
      </c>
      <c r="F113">
        <v>63</v>
      </c>
      <c r="G113">
        <v>92</v>
      </c>
      <c r="H113">
        <v>210</v>
      </c>
      <c r="I113" s="2">
        <v>3.8095238095238099E-2</v>
      </c>
    </row>
    <row r="114" spans="1:9" hidden="1" x14ac:dyDescent="0.3">
      <c r="A114">
        <v>16270835</v>
      </c>
      <c r="B114">
        <v>1</v>
      </c>
      <c r="C114">
        <v>98</v>
      </c>
      <c r="D114">
        <v>54</v>
      </c>
      <c r="E114">
        <v>73</v>
      </c>
      <c r="F114">
        <v>45</v>
      </c>
      <c r="G114">
        <v>88</v>
      </c>
      <c r="H114">
        <v>359</v>
      </c>
      <c r="I114" s="2">
        <v>0.27298050139275765</v>
      </c>
    </row>
    <row r="115" spans="1:9" hidden="1" x14ac:dyDescent="0.3">
      <c r="A115">
        <v>16327374</v>
      </c>
      <c r="B115">
        <v>1</v>
      </c>
      <c r="C115">
        <v>11</v>
      </c>
      <c r="D115">
        <v>7</v>
      </c>
      <c r="E115">
        <v>22</v>
      </c>
      <c r="F115">
        <v>30</v>
      </c>
      <c r="G115">
        <v>79</v>
      </c>
      <c r="H115">
        <v>150</v>
      </c>
      <c r="I115" s="2">
        <v>7.3333333333333334E-2</v>
      </c>
    </row>
    <row r="116" spans="1:9" hidden="1" x14ac:dyDescent="0.3">
      <c r="A116">
        <v>16373130</v>
      </c>
      <c r="B116">
        <v>1</v>
      </c>
      <c r="C116">
        <v>7</v>
      </c>
      <c r="D116">
        <v>1</v>
      </c>
      <c r="E116">
        <v>7</v>
      </c>
      <c r="F116">
        <v>8</v>
      </c>
      <c r="G116">
        <v>60</v>
      </c>
      <c r="H116">
        <v>84</v>
      </c>
      <c r="I116" s="2">
        <v>8.3333333333333329E-2</v>
      </c>
    </row>
    <row r="117" spans="1:9" hidden="1" x14ac:dyDescent="0.3">
      <c r="A117">
        <v>16547864</v>
      </c>
      <c r="B117">
        <v>1</v>
      </c>
      <c r="C117">
        <v>7</v>
      </c>
      <c r="D117">
        <v>3</v>
      </c>
      <c r="E117">
        <v>2</v>
      </c>
      <c r="F117">
        <v>15</v>
      </c>
      <c r="G117">
        <v>47</v>
      </c>
      <c r="H117">
        <v>75</v>
      </c>
      <c r="I117" s="2">
        <v>9.3333333333333338E-2</v>
      </c>
    </row>
    <row r="118" spans="1:9" hidden="1" x14ac:dyDescent="0.3">
      <c r="A118">
        <v>16571758</v>
      </c>
      <c r="B118">
        <v>1</v>
      </c>
      <c r="C118">
        <v>10</v>
      </c>
      <c r="D118">
        <v>4</v>
      </c>
      <c r="E118">
        <v>72</v>
      </c>
      <c r="F118">
        <v>25</v>
      </c>
      <c r="G118">
        <v>59</v>
      </c>
      <c r="H118">
        <v>171</v>
      </c>
      <c r="I118" s="2">
        <v>5.8479532163742687E-2</v>
      </c>
    </row>
    <row r="119" spans="1:9" hidden="1" x14ac:dyDescent="0.3">
      <c r="A119">
        <v>16597452</v>
      </c>
      <c r="B119">
        <v>1</v>
      </c>
      <c r="C119">
        <v>14</v>
      </c>
      <c r="D119">
        <v>13</v>
      </c>
      <c r="E119">
        <v>85</v>
      </c>
      <c r="F119">
        <v>122</v>
      </c>
      <c r="G119">
        <v>114</v>
      </c>
      <c r="H119">
        <v>349</v>
      </c>
      <c r="I119" s="2">
        <v>4.0114613180515762E-2</v>
      </c>
    </row>
    <row r="120" spans="1:9" hidden="1" x14ac:dyDescent="0.3">
      <c r="A120">
        <v>16945168</v>
      </c>
      <c r="B120">
        <v>1</v>
      </c>
      <c r="C120">
        <v>14</v>
      </c>
      <c r="D120">
        <v>45</v>
      </c>
      <c r="E120">
        <v>133</v>
      </c>
      <c r="F120">
        <v>55</v>
      </c>
      <c r="G120">
        <v>72</v>
      </c>
      <c r="H120">
        <v>320</v>
      </c>
      <c r="I120" s="2">
        <v>4.3749999999999997E-2</v>
      </c>
    </row>
    <row r="121" spans="1:9" hidden="1" x14ac:dyDescent="0.3">
      <c r="A121">
        <v>17058913</v>
      </c>
      <c r="B121">
        <v>1</v>
      </c>
      <c r="C121">
        <v>25</v>
      </c>
      <c r="D121">
        <v>6</v>
      </c>
      <c r="E121">
        <v>15</v>
      </c>
      <c r="F121">
        <v>49</v>
      </c>
      <c r="G121">
        <v>102</v>
      </c>
      <c r="H121">
        <v>198</v>
      </c>
      <c r="I121" s="2">
        <v>0.12626262626262627</v>
      </c>
    </row>
    <row r="122" spans="1:9" hidden="1" x14ac:dyDescent="0.3">
      <c r="A122">
        <v>17069175</v>
      </c>
      <c r="B122">
        <v>1</v>
      </c>
      <c r="C122">
        <v>6</v>
      </c>
      <c r="D122">
        <v>4</v>
      </c>
      <c r="E122">
        <v>22</v>
      </c>
      <c r="F122">
        <v>21</v>
      </c>
      <c r="G122">
        <v>62</v>
      </c>
      <c r="H122">
        <v>116</v>
      </c>
      <c r="I122" s="2">
        <v>5.1724137931034482E-2</v>
      </c>
    </row>
    <row r="123" spans="1:9" hidden="1" x14ac:dyDescent="0.3">
      <c r="A123">
        <v>17163876</v>
      </c>
      <c r="B123">
        <v>1</v>
      </c>
      <c r="C123">
        <v>31</v>
      </c>
      <c r="D123">
        <v>12</v>
      </c>
      <c r="E123">
        <v>38</v>
      </c>
      <c r="F123">
        <v>93</v>
      </c>
      <c r="G123">
        <v>160</v>
      </c>
      <c r="H123">
        <v>335</v>
      </c>
      <c r="I123" s="2">
        <v>9.2537313432835819E-2</v>
      </c>
    </row>
    <row r="124" spans="1:9" hidden="1" x14ac:dyDescent="0.3">
      <c r="A124">
        <v>17253686</v>
      </c>
      <c r="B124">
        <v>1</v>
      </c>
      <c r="C124">
        <v>24</v>
      </c>
      <c r="D124">
        <v>4</v>
      </c>
      <c r="E124">
        <v>6</v>
      </c>
      <c r="F124">
        <v>8</v>
      </c>
      <c r="G124">
        <v>40</v>
      </c>
      <c r="H124">
        <v>83</v>
      </c>
      <c r="I124" s="2">
        <v>0.28915662650602408</v>
      </c>
    </row>
    <row r="125" spans="1:9" hidden="1" x14ac:dyDescent="0.3">
      <c r="A125">
        <v>17306569</v>
      </c>
      <c r="B125">
        <v>1</v>
      </c>
      <c r="C125">
        <v>6</v>
      </c>
      <c r="D125">
        <v>4</v>
      </c>
      <c r="E125">
        <v>14</v>
      </c>
      <c r="F125">
        <v>67</v>
      </c>
      <c r="G125">
        <v>155</v>
      </c>
      <c r="H125">
        <v>247</v>
      </c>
      <c r="I125" s="2">
        <v>2.4291497975708502E-2</v>
      </c>
    </row>
    <row r="126" spans="1:9" hidden="1" x14ac:dyDescent="0.3">
      <c r="A126">
        <v>17443451</v>
      </c>
      <c r="B126">
        <v>1</v>
      </c>
      <c r="C126">
        <v>23</v>
      </c>
      <c r="D126">
        <v>25</v>
      </c>
      <c r="E126">
        <v>33</v>
      </c>
      <c r="F126">
        <v>24</v>
      </c>
      <c r="G126">
        <v>27</v>
      </c>
      <c r="H126">
        <v>133</v>
      </c>
      <c r="I126" s="2">
        <v>0.17293233082706766</v>
      </c>
    </row>
    <row r="127" spans="1:9" hidden="1" x14ac:dyDescent="0.3">
      <c r="A127">
        <v>17612827</v>
      </c>
      <c r="B127">
        <v>1</v>
      </c>
      <c r="C127">
        <v>12</v>
      </c>
      <c r="D127">
        <v>21</v>
      </c>
      <c r="E127">
        <v>48</v>
      </c>
      <c r="F127">
        <v>58</v>
      </c>
      <c r="G127">
        <v>106</v>
      </c>
      <c r="H127">
        <v>246</v>
      </c>
      <c r="I127" s="2">
        <v>4.878048780487805E-2</v>
      </c>
    </row>
    <row r="128" spans="1:9" hidden="1" x14ac:dyDescent="0.3">
      <c r="A128">
        <v>17619292</v>
      </c>
      <c r="B128">
        <v>1</v>
      </c>
      <c r="C128">
        <v>6</v>
      </c>
      <c r="D128">
        <v>5</v>
      </c>
      <c r="E128">
        <v>13</v>
      </c>
      <c r="F128">
        <v>5</v>
      </c>
      <c r="G128">
        <v>8</v>
      </c>
      <c r="H128">
        <v>38</v>
      </c>
      <c r="I128" s="2">
        <v>0.15789473684210525</v>
      </c>
    </row>
    <row r="129" spans="1:9" hidden="1" x14ac:dyDescent="0.3">
      <c r="A129">
        <v>17660623</v>
      </c>
      <c r="B129">
        <v>1</v>
      </c>
      <c r="C129">
        <v>6</v>
      </c>
      <c r="D129">
        <v>1</v>
      </c>
      <c r="E129">
        <v>2</v>
      </c>
      <c r="F129">
        <v>6</v>
      </c>
      <c r="G129">
        <v>58</v>
      </c>
      <c r="H129">
        <v>74</v>
      </c>
      <c r="I129" s="2">
        <v>8.1081081081081086E-2</v>
      </c>
    </row>
    <row r="130" spans="1:9" hidden="1" x14ac:dyDescent="0.3">
      <c r="A130">
        <v>17746132</v>
      </c>
      <c r="B130">
        <v>1</v>
      </c>
      <c r="C130">
        <v>12</v>
      </c>
      <c r="D130">
        <v>8</v>
      </c>
      <c r="E130">
        <v>45</v>
      </c>
      <c r="F130">
        <v>75</v>
      </c>
      <c r="G130">
        <v>93</v>
      </c>
      <c r="H130">
        <v>234</v>
      </c>
      <c r="I130" s="2">
        <v>5.128205128205128E-2</v>
      </c>
    </row>
    <row r="131" spans="1:9" hidden="1" x14ac:dyDescent="0.3">
      <c r="A131">
        <v>17828394</v>
      </c>
      <c r="B131">
        <v>1</v>
      </c>
      <c r="C131">
        <v>8</v>
      </c>
      <c r="D131">
        <v>5</v>
      </c>
      <c r="E131">
        <v>27</v>
      </c>
      <c r="F131">
        <v>88</v>
      </c>
      <c r="G131">
        <v>99</v>
      </c>
      <c r="H131">
        <v>228</v>
      </c>
      <c r="I131" s="2">
        <v>3.5087719298245612E-2</v>
      </c>
    </row>
    <row r="132" spans="1:9" hidden="1" x14ac:dyDescent="0.3">
      <c r="A132">
        <v>17855280</v>
      </c>
      <c r="B132">
        <v>1</v>
      </c>
      <c r="C132">
        <v>25</v>
      </c>
      <c r="D132">
        <v>4</v>
      </c>
      <c r="E132">
        <v>5</v>
      </c>
      <c r="F132">
        <v>7</v>
      </c>
      <c r="G132">
        <v>35</v>
      </c>
      <c r="H132">
        <v>77</v>
      </c>
      <c r="I132" s="2">
        <v>0.32467532467532467</v>
      </c>
    </row>
    <row r="133" spans="1:9" hidden="1" x14ac:dyDescent="0.3">
      <c r="A133">
        <v>18161363</v>
      </c>
      <c r="B133">
        <v>1</v>
      </c>
      <c r="C133">
        <v>14</v>
      </c>
      <c r="D133">
        <v>4</v>
      </c>
      <c r="E133">
        <v>11</v>
      </c>
      <c r="F133">
        <v>25</v>
      </c>
      <c r="G133">
        <v>72</v>
      </c>
      <c r="H133">
        <v>127</v>
      </c>
      <c r="I133" s="2">
        <v>0.11023622047244094</v>
      </c>
    </row>
    <row r="134" spans="1:9" hidden="1" x14ac:dyDescent="0.3">
      <c r="A134">
        <v>18184158</v>
      </c>
      <c r="B134">
        <v>1</v>
      </c>
      <c r="C134">
        <v>7</v>
      </c>
      <c r="D134">
        <v>5</v>
      </c>
      <c r="E134">
        <v>12</v>
      </c>
      <c r="F134">
        <v>25</v>
      </c>
      <c r="G134">
        <v>81</v>
      </c>
      <c r="H134">
        <v>131</v>
      </c>
      <c r="I134" s="2">
        <v>5.3435114503816793E-2</v>
      </c>
    </row>
    <row r="135" spans="1:9" hidden="1" x14ac:dyDescent="0.3">
      <c r="A135">
        <v>18330224</v>
      </c>
      <c r="B135">
        <v>1</v>
      </c>
      <c r="C135">
        <v>6</v>
      </c>
      <c r="D135">
        <v>6</v>
      </c>
      <c r="E135">
        <v>20</v>
      </c>
      <c r="F135">
        <v>71</v>
      </c>
      <c r="G135">
        <v>116</v>
      </c>
      <c r="H135">
        <v>220</v>
      </c>
      <c r="I135" s="2">
        <v>2.7272727272727271E-2</v>
      </c>
    </row>
    <row r="136" spans="1:9" hidden="1" x14ac:dyDescent="0.3">
      <c r="A136">
        <v>18407273</v>
      </c>
      <c r="B136">
        <v>1</v>
      </c>
      <c r="C136">
        <v>19</v>
      </c>
      <c r="D136">
        <v>23</v>
      </c>
      <c r="E136">
        <v>46</v>
      </c>
      <c r="F136">
        <v>91</v>
      </c>
      <c r="G136">
        <v>134</v>
      </c>
      <c r="H136">
        <v>314</v>
      </c>
      <c r="I136" s="2">
        <v>6.0509554140127389E-2</v>
      </c>
    </row>
    <row r="137" spans="1:9" hidden="1" x14ac:dyDescent="0.3">
      <c r="A137">
        <v>18458478</v>
      </c>
      <c r="B137">
        <v>1</v>
      </c>
      <c r="C137">
        <v>7</v>
      </c>
      <c r="D137">
        <v>1</v>
      </c>
      <c r="E137">
        <v>0</v>
      </c>
      <c r="F137">
        <v>5</v>
      </c>
      <c r="G137">
        <v>47</v>
      </c>
      <c r="H137">
        <v>61</v>
      </c>
      <c r="I137" s="2">
        <v>0.11475409836065574</v>
      </c>
    </row>
    <row r="138" spans="1:9" hidden="1" x14ac:dyDescent="0.3">
      <c r="A138">
        <v>18558116</v>
      </c>
      <c r="B138">
        <v>1</v>
      </c>
      <c r="C138">
        <v>7</v>
      </c>
      <c r="D138">
        <v>16</v>
      </c>
      <c r="E138">
        <v>18</v>
      </c>
      <c r="F138">
        <v>13</v>
      </c>
      <c r="G138">
        <v>76</v>
      </c>
      <c r="H138">
        <v>131</v>
      </c>
      <c r="I138" s="2">
        <v>5.3435114503816793E-2</v>
      </c>
    </row>
    <row r="139" spans="1:9" hidden="1" x14ac:dyDescent="0.3">
      <c r="A139">
        <v>18605568</v>
      </c>
      <c r="B139">
        <v>1</v>
      </c>
      <c r="C139">
        <v>9</v>
      </c>
      <c r="D139">
        <v>36</v>
      </c>
      <c r="E139">
        <v>97</v>
      </c>
      <c r="F139">
        <v>190</v>
      </c>
      <c r="G139">
        <v>130</v>
      </c>
      <c r="H139">
        <v>463</v>
      </c>
      <c r="I139" s="2">
        <v>1.9438444924406047E-2</v>
      </c>
    </row>
    <row r="140" spans="1:9" hidden="1" x14ac:dyDescent="0.3">
      <c r="A140">
        <v>18677431</v>
      </c>
      <c r="B140">
        <v>1</v>
      </c>
      <c r="C140">
        <v>7</v>
      </c>
      <c r="D140">
        <v>4</v>
      </c>
      <c r="E140">
        <v>44</v>
      </c>
      <c r="F140">
        <v>87</v>
      </c>
      <c r="G140">
        <v>108</v>
      </c>
      <c r="H140">
        <v>251</v>
      </c>
      <c r="I140" s="2">
        <v>2.7888446215139442E-2</v>
      </c>
    </row>
    <row r="141" spans="1:9" hidden="1" x14ac:dyDescent="0.3">
      <c r="A141">
        <v>18732882</v>
      </c>
      <c r="B141">
        <v>1</v>
      </c>
      <c r="C141">
        <v>6</v>
      </c>
      <c r="D141">
        <v>3</v>
      </c>
      <c r="E141">
        <v>8</v>
      </c>
      <c r="F141">
        <v>14</v>
      </c>
      <c r="G141">
        <v>102</v>
      </c>
      <c r="H141">
        <v>134</v>
      </c>
      <c r="I141" s="2">
        <v>4.4776119402985072E-2</v>
      </c>
    </row>
    <row r="142" spans="1:9" hidden="1" x14ac:dyDescent="0.3">
      <c r="A142">
        <v>18809796</v>
      </c>
      <c r="B142">
        <v>1</v>
      </c>
      <c r="C142">
        <v>6</v>
      </c>
      <c r="D142">
        <v>1</v>
      </c>
      <c r="E142">
        <v>10</v>
      </c>
      <c r="F142">
        <v>12</v>
      </c>
      <c r="G142">
        <v>14</v>
      </c>
      <c r="H142">
        <v>44</v>
      </c>
      <c r="I142" s="2">
        <v>0.13636363636363635</v>
      </c>
    </row>
    <row r="143" spans="1:9" hidden="1" x14ac:dyDescent="0.3">
      <c r="A143">
        <v>18828512</v>
      </c>
      <c r="B143">
        <v>1</v>
      </c>
      <c r="C143">
        <v>8</v>
      </c>
      <c r="D143">
        <v>3</v>
      </c>
      <c r="E143">
        <v>18</v>
      </c>
      <c r="F143">
        <v>35</v>
      </c>
      <c r="G143">
        <v>86</v>
      </c>
      <c r="H143">
        <v>151</v>
      </c>
      <c r="I143" s="2">
        <v>5.2980132450331126E-2</v>
      </c>
    </row>
    <row r="144" spans="1:9" hidden="1" x14ac:dyDescent="0.3">
      <c r="A144">
        <v>18828872</v>
      </c>
      <c r="B144">
        <v>1</v>
      </c>
      <c r="C144">
        <v>6</v>
      </c>
      <c r="D144">
        <v>1</v>
      </c>
      <c r="E144">
        <v>6</v>
      </c>
      <c r="F144">
        <v>8</v>
      </c>
      <c r="G144">
        <v>45</v>
      </c>
      <c r="H144">
        <v>67</v>
      </c>
      <c r="I144" s="2">
        <v>8.9552238805970144E-2</v>
      </c>
    </row>
    <row r="145" spans="1:9" hidden="1" x14ac:dyDescent="0.3">
      <c r="A145">
        <v>18840216</v>
      </c>
      <c r="B145">
        <v>1</v>
      </c>
      <c r="C145">
        <v>7</v>
      </c>
      <c r="D145">
        <v>8</v>
      </c>
      <c r="E145">
        <v>15</v>
      </c>
      <c r="F145">
        <v>61</v>
      </c>
      <c r="G145">
        <v>130</v>
      </c>
      <c r="H145">
        <v>222</v>
      </c>
      <c r="I145" s="2">
        <v>3.1531531531531529E-2</v>
      </c>
    </row>
    <row r="146" spans="1:9" hidden="1" x14ac:dyDescent="0.3">
      <c r="A146">
        <v>18888262</v>
      </c>
      <c r="B146">
        <v>1</v>
      </c>
      <c r="C146">
        <v>16</v>
      </c>
      <c r="D146">
        <v>11</v>
      </c>
      <c r="E146">
        <v>111</v>
      </c>
      <c r="F146">
        <v>183</v>
      </c>
      <c r="G146">
        <v>142</v>
      </c>
      <c r="H146">
        <v>464</v>
      </c>
      <c r="I146" s="2">
        <v>3.4482758620689655E-2</v>
      </c>
    </row>
    <row r="147" spans="1:9" hidden="1" x14ac:dyDescent="0.3">
      <c r="A147">
        <v>18894516</v>
      </c>
      <c r="B147">
        <v>1</v>
      </c>
      <c r="C147">
        <v>10</v>
      </c>
      <c r="D147">
        <v>12</v>
      </c>
      <c r="E147">
        <v>15</v>
      </c>
      <c r="F147">
        <v>36</v>
      </c>
      <c r="G147">
        <v>123</v>
      </c>
      <c r="H147">
        <v>197</v>
      </c>
      <c r="I147" s="2">
        <v>5.0761421319796954E-2</v>
      </c>
    </row>
    <row r="148" spans="1:9" hidden="1" x14ac:dyDescent="0.3">
      <c r="A148">
        <v>18946614</v>
      </c>
      <c r="B148">
        <v>1</v>
      </c>
      <c r="C148">
        <v>8</v>
      </c>
      <c r="D148">
        <v>2</v>
      </c>
      <c r="E148">
        <v>6</v>
      </c>
      <c r="F148">
        <v>12</v>
      </c>
      <c r="G148">
        <v>43</v>
      </c>
      <c r="H148">
        <v>72</v>
      </c>
      <c r="I148" s="2">
        <v>0.1111111111111111</v>
      </c>
    </row>
    <row r="149" spans="1:9" hidden="1" x14ac:dyDescent="0.3">
      <c r="A149">
        <v>18975836</v>
      </c>
      <c r="B149">
        <v>1</v>
      </c>
      <c r="C149">
        <v>8</v>
      </c>
      <c r="D149">
        <v>6</v>
      </c>
      <c r="E149">
        <v>23</v>
      </c>
      <c r="F149">
        <v>15</v>
      </c>
      <c r="G149">
        <v>39</v>
      </c>
      <c r="H149">
        <v>92</v>
      </c>
      <c r="I149" s="2">
        <v>8.6956521739130432E-2</v>
      </c>
    </row>
    <row r="150" spans="1:9" hidden="1" x14ac:dyDescent="0.3">
      <c r="A150">
        <v>19009381</v>
      </c>
      <c r="B150">
        <v>1</v>
      </c>
      <c r="C150">
        <v>33</v>
      </c>
      <c r="D150">
        <v>25</v>
      </c>
      <c r="E150">
        <v>89</v>
      </c>
      <c r="F150">
        <v>252</v>
      </c>
      <c r="G150">
        <v>162</v>
      </c>
      <c r="H150">
        <v>562</v>
      </c>
      <c r="I150" s="2">
        <v>5.8718861209964411E-2</v>
      </c>
    </row>
    <row r="151" spans="1:9" hidden="1" x14ac:dyDescent="0.3">
      <c r="A151">
        <v>19043504</v>
      </c>
      <c r="B151">
        <v>1</v>
      </c>
      <c r="C151">
        <v>10</v>
      </c>
      <c r="D151">
        <v>10</v>
      </c>
      <c r="E151">
        <v>69</v>
      </c>
      <c r="F151">
        <v>131</v>
      </c>
      <c r="G151">
        <v>138</v>
      </c>
      <c r="H151">
        <v>359</v>
      </c>
      <c r="I151" s="2">
        <v>2.7855153203342618E-2</v>
      </c>
    </row>
    <row r="152" spans="1:9" hidden="1" x14ac:dyDescent="0.3">
      <c r="A152">
        <v>19099021</v>
      </c>
      <c r="B152">
        <v>1</v>
      </c>
      <c r="C152">
        <v>6</v>
      </c>
      <c r="D152">
        <v>3</v>
      </c>
      <c r="E152">
        <v>15</v>
      </c>
      <c r="F152">
        <v>53</v>
      </c>
      <c r="G152">
        <v>65</v>
      </c>
      <c r="H152">
        <v>143</v>
      </c>
      <c r="I152" s="2">
        <v>4.195804195804196E-2</v>
      </c>
    </row>
    <row r="153" spans="1:9" hidden="1" x14ac:dyDescent="0.3">
      <c r="A153">
        <v>19099392</v>
      </c>
      <c r="B153">
        <v>1</v>
      </c>
      <c r="C153">
        <v>8</v>
      </c>
      <c r="D153">
        <v>6</v>
      </c>
      <c r="E153">
        <v>8</v>
      </c>
      <c r="F153">
        <v>47</v>
      </c>
      <c r="G153">
        <v>80</v>
      </c>
      <c r="H153">
        <v>150</v>
      </c>
      <c r="I153" s="2">
        <v>5.3333333333333337E-2</v>
      </c>
    </row>
    <row r="154" spans="1:9" hidden="1" x14ac:dyDescent="0.3">
      <c r="A154">
        <v>19134539</v>
      </c>
      <c r="B154">
        <v>1</v>
      </c>
      <c r="C154">
        <v>6</v>
      </c>
      <c r="D154">
        <v>0</v>
      </c>
      <c r="E154">
        <v>4</v>
      </c>
      <c r="F154">
        <v>14</v>
      </c>
      <c r="G154">
        <v>31</v>
      </c>
      <c r="H154">
        <v>56</v>
      </c>
      <c r="I154" s="2">
        <v>0.10714285714285714</v>
      </c>
    </row>
    <row r="155" spans="1:9" hidden="1" x14ac:dyDescent="0.3">
      <c r="A155">
        <v>19292602</v>
      </c>
      <c r="B155">
        <v>1</v>
      </c>
      <c r="C155">
        <v>14</v>
      </c>
      <c r="D155">
        <v>31</v>
      </c>
      <c r="E155">
        <v>15</v>
      </c>
      <c r="F155">
        <v>66</v>
      </c>
      <c r="G155">
        <v>149</v>
      </c>
      <c r="H155">
        <v>276</v>
      </c>
      <c r="I155" s="2">
        <v>5.0724637681159424E-2</v>
      </c>
    </row>
    <row r="156" spans="1:9" hidden="1" x14ac:dyDescent="0.3">
      <c r="A156">
        <v>19360677</v>
      </c>
      <c r="B156">
        <v>1</v>
      </c>
      <c r="C156">
        <v>6</v>
      </c>
      <c r="D156">
        <v>5</v>
      </c>
      <c r="E156">
        <v>16</v>
      </c>
      <c r="F156">
        <v>30</v>
      </c>
      <c r="G156">
        <v>78</v>
      </c>
      <c r="H156">
        <v>136</v>
      </c>
      <c r="I156" s="2">
        <v>4.4117647058823532E-2</v>
      </c>
    </row>
    <row r="157" spans="1:9" hidden="1" x14ac:dyDescent="0.3">
      <c r="A157">
        <v>19366669</v>
      </c>
      <c r="B157">
        <v>1</v>
      </c>
      <c r="C157">
        <v>15</v>
      </c>
      <c r="D157">
        <v>15</v>
      </c>
      <c r="E157">
        <v>103</v>
      </c>
      <c r="F157">
        <v>314</v>
      </c>
      <c r="G157">
        <v>124</v>
      </c>
      <c r="H157">
        <v>572</v>
      </c>
      <c r="I157" s="2">
        <v>2.6223776223776224E-2</v>
      </c>
    </row>
    <row r="158" spans="1:9" hidden="1" x14ac:dyDescent="0.3">
      <c r="A158">
        <v>19495223</v>
      </c>
      <c r="B158">
        <v>1</v>
      </c>
      <c r="C158">
        <v>15</v>
      </c>
      <c r="D158">
        <v>7</v>
      </c>
      <c r="E158">
        <v>18</v>
      </c>
      <c r="F158">
        <v>41</v>
      </c>
      <c r="G158">
        <v>46</v>
      </c>
      <c r="H158">
        <v>128</v>
      </c>
      <c r="I158" s="2">
        <v>0.1171875</v>
      </c>
    </row>
    <row r="159" spans="1:9" hidden="1" x14ac:dyDescent="0.3">
      <c r="A159">
        <v>19544065</v>
      </c>
      <c r="B159">
        <v>1</v>
      </c>
      <c r="C159">
        <v>7</v>
      </c>
      <c r="D159">
        <v>2</v>
      </c>
      <c r="E159">
        <v>14</v>
      </c>
      <c r="F159">
        <v>38</v>
      </c>
      <c r="G159">
        <v>97</v>
      </c>
      <c r="H159">
        <v>159</v>
      </c>
      <c r="I159" s="2">
        <v>4.40251572327044E-2</v>
      </c>
    </row>
    <row r="160" spans="1:9" hidden="1" x14ac:dyDescent="0.3">
      <c r="A160">
        <v>19567285</v>
      </c>
      <c r="B160">
        <v>1</v>
      </c>
      <c r="C160">
        <v>7</v>
      </c>
      <c r="D160">
        <v>8</v>
      </c>
      <c r="E160">
        <v>52</v>
      </c>
      <c r="F160">
        <v>26</v>
      </c>
      <c r="G160">
        <v>46</v>
      </c>
      <c r="H160">
        <v>140</v>
      </c>
      <c r="I160" s="2">
        <v>0.05</v>
      </c>
    </row>
    <row r="161" spans="1:9" hidden="1" x14ac:dyDescent="0.3">
      <c r="A161">
        <v>19570320</v>
      </c>
      <c r="B161">
        <v>1</v>
      </c>
      <c r="C161">
        <v>8</v>
      </c>
      <c r="D161">
        <v>25</v>
      </c>
      <c r="E161">
        <v>105</v>
      </c>
      <c r="F161">
        <v>168</v>
      </c>
      <c r="G161">
        <v>137</v>
      </c>
      <c r="H161">
        <v>444</v>
      </c>
      <c r="I161" s="2">
        <v>1.8018018018018018E-2</v>
      </c>
    </row>
    <row r="162" spans="1:9" hidden="1" x14ac:dyDescent="0.3">
      <c r="A162">
        <v>19678256</v>
      </c>
      <c r="B162">
        <v>1</v>
      </c>
      <c r="C162">
        <v>13</v>
      </c>
      <c r="D162">
        <v>8</v>
      </c>
      <c r="E162">
        <v>21</v>
      </c>
      <c r="F162">
        <v>27</v>
      </c>
      <c r="G162">
        <v>34</v>
      </c>
      <c r="H162">
        <v>104</v>
      </c>
      <c r="I162" s="2">
        <v>0.125</v>
      </c>
    </row>
    <row r="163" spans="1:9" hidden="1" x14ac:dyDescent="0.3">
      <c r="A163">
        <v>19737078</v>
      </c>
      <c r="B163">
        <v>1</v>
      </c>
      <c r="C163">
        <v>6</v>
      </c>
      <c r="D163">
        <v>6</v>
      </c>
      <c r="E163">
        <v>15</v>
      </c>
      <c r="F163">
        <v>20</v>
      </c>
      <c r="G163">
        <v>55</v>
      </c>
      <c r="H163">
        <v>103</v>
      </c>
      <c r="I163" s="2">
        <v>5.8252427184466021E-2</v>
      </c>
    </row>
    <row r="164" spans="1:9" hidden="1" x14ac:dyDescent="0.3">
      <c r="A164">
        <v>19986928</v>
      </c>
      <c r="B164">
        <v>1</v>
      </c>
      <c r="C164">
        <v>6</v>
      </c>
      <c r="D164">
        <v>6</v>
      </c>
      <c r="E164">
        <v>30</v>
      </c>
      <c r="F164">
        <v>30</v>
      </c>
      <c r="G164">
        <v>50</v>
      </c>
      <c r="H164">
        <v>123</v>
      </c>
      <c r="I164" s="2">
        <v>4.878048780487805E-2</v>
      </c>
    </row>
    <row r="165" spans="1:9" hidden="1" x14ac:dyDescent="0.3">
      <c r="A165">
        <v>20132937</v>
      </c>
      <c r="B165">
        <v>1</v>
      </c>
      <c r="C165">
        <v>7</v>
      </c>
      <c r="D165">
        <v>14</v>
      </c>
      <c r="E165">
        <v>52</v>
      </c>
      <c r="F165">
        <v>153</v>
      </c>
      <c r="G165">
        <v>161</v>
      </c>
      <c r="H165">
        <v>388</v>
      </c>
      <c r="I165" s="2">
        <v>1.804123711340206E-2</v>
      </c>
    </row>
    <row r="166" spans="1:9" hidden="1" x14ac:dyDescent="0.3">
      <c r="A166">
        <v>20177857</v>
      </c>
      <c r="B166">
        <v>1</v>
      </c>
      <c r="C166">
        <v>9</v>
      </c>
      <c r="D166">
        <v>3</v>
      </c>
      <c r="E166">
        <v>24</v>
      </c>
      <c r="F166">
        <v>62</v>
      </c>
      <c r="G166">
        <v>122</v>
      </c>
      <c r="H166">
        <v>221</v>
      </c>
      <c r="I166" s="2">
        <v>4.072398190045249E-2</v>
      </c>
    </row>
    <row r="167" spans="1:9" hidden="1" x14ac:dyDescent="0.3">
      <c r="A167">
        <v>20302059</v>
      </c>
      <c r="B167">
        <v>1</v>
      </c>
      <c r="C167">
        <v>8</v>
      </c>
      <c r="D167">
        <v>8</v>
      </c>
      <c r="E167">
        <v>41</v>
      </c>
      <c r="F167">
        <v>88</v>
      </c>
      <c r="G167">
        <v>70</v>
      </c>
      <c r="H167">
        <v>216</v>
      </c>
      <c r="I167" s="2">
        <v>3.7037037037037035E-2</v>
      </c>
    </row>
    <row r="168" spans="1:9" hidden="1" x14ac:dyDescent="0.3">
      <c r="A168">
        <v>20345697</v>
      </c>
      <c r="B168">
        <v>1</v>
      </c>
      <c r="C168">
        <v>11</v>
      </c>
      <c r="D168">
        <v>4</v>
      </c>
      <c r="E168">
        <v>28</v>
      </c>
      <c r="F168">
        <v>60</v>
      </c>
      <c r="G168">
        <v>95</v>
      </c>
      <c r="H168">
        <v>199</v>
      </c>
      <c r="I168" s="2">
        <v>5.5276381909547742E-2</v>
      </c>
    </row>
    <row r="169" spans="1:9" hidden="1" x14ac:dyDescent="0.3">
      <c r="A169">
        <v>20464418</v>
      </c>
      <c r="B169">
        <v>1</v>
      </c>
      <c r="C169">
        <v>6</v>
      </c>
      <c r="D169">
        <v>0</v>
      </c>
      <c r="E169">
        <v>9</v>
      </c>
      <c r="F169">
        <v>25</v>
      </c>
      <c r="G169">
        <v>34</v>
      </c>
      <c r="H169">
        <v>75</v>
      </c>
      <c r="I169" s="2">
        <v>0.08</v>
      </c>
    </row>
    <row r="170" spans="1:9" hidden="1" x14ac:dyDescent="0.3">
      <c r="A170">
        <v>20489846</v>
      </c>
      <c r="B170">
        <v>1</v>
      </c>
      <c r="C170">
        <v>10</v>
      </c>
      <c r="D170">
        <v>1</v>
      </c>
      <c r="E170">
        <v>0</v>
      </c>
      <c r="F170">
        <v>1</v>
      </c>
      <c r="G170">
        <v>7</v>
      </c>
      <c r="H170">
        <v>20</v>
      </c>
      <c r="I170" s="2">
        <v>0.5</v>
      </c>
    </row>
    <row r="171" spans="1:9" hidden="1" x14ac:dyDescent="0.3">
      <c r="A171">
        <v>20510131</v>
      </c>
      <c r="B171">
        <v>1</v>
      </c>
      <c r="C171">
        <v>8</v>
      </c>
      <c r="D171">
        <v>5</v>
      </c>
      <c r="E171">
        <v>8</v>
      </c>
      <c r="F171">
        <v>7</v>
      </c>
      <c r="G171">
        <v>39</v>
      </c>
      <c r="H171">
        <v>68</v>
      </c>
      <c r="I171" s="2">
        <v>0.11764705882352941</v>
      </c>
    </row>
    <row r="172" spans="1:9" hidden="1" x14ac:dyDescent="0.3">
      <c r="A172">
        <v>20527346</v>
      </c>
      <c r="B172">
        <v>1</v>
      </c>
      <c r="C172">
        <v>8</v>
      </c>
      <c r="D172">
        <v>1</v>
      </c>
      <c r="E172">
        <v>15</v>
      </c>
      <c r="F172">
        <v>14</v>
      </c>
      <c r="G172">
        <v>35</v>
      </c>
      <c r="H172">
        <v>74</v>
      </c>
      <c r="I172" s="2">
        <v>0.10810810810810811</v>
      </c>
    </row>
    <row r="173" spans="1:9" hidden="1" x14ac:dyDescent="0.3">
      <c r="A173">
        <v>20623447</v>
      </c>
      <c r="B173">
        <v>1</v>
      </c>
      <c r="C173">
        <v>12</v>
      </c>
      <c r="D173">
        <v>19</v>
      </c>
      <c r="E173">
        <v>39</v>
      </c>
      <c r="F173">
        <v>88</v>
      </c>
      <c r="G173">
        <v>86</v>
      </c>
      <c r="H173">
        <v>245</v>
      </c>
      <c r="I173" s="2">
        <v>4.8979591836734691E-2</v>
      </c>
    </row>
    <row r="174" spans="1:9" hidden="1" x14ac:dyDescent="0.3">
      <c r="A174">
        <v>20629061</v>
      </c>
      <c r="B174">
        <v>1</v>
      </c>
      <c r="C174">
        <v>11</v>
      </c>
      <c r="D174">
        <v>24</v>
      </c>
      <c r="E174">
        <v>83</v>
      </c>
      <c r="F174">
        <v>224</v>
      </c>
      <c r="G174">
        <v>206</v>
      </c>
      <c r="H174">
        <v>549</v>
      </c>
      <c r="I174" s="2">
        <v>2.0036429872495445E-2</v>
      </c>
    </row>
    <row r="175" spans="1:9" hidden="1" x14ac:dyDescent="0.3">
      <c r="A175">
        <v>20679862</v>
      </c>
      <c r="B175">
        <v>1</v>
      </c>
      <c r="C175">
        <v>7</v>
      </c>
      <c r="D175">
        <v>3</v>
      </c>
      <c r="E175">
        <v>10</v>
      </c>
      <c r="F175">
        <v>11</v>
      </c>
      <c r="G175">
        <v>38</v>
      </c>
      <c r="H175">
        <v>70</v>
      </c>
      <c r="I175" s="2">
        <v>0.1</v>
      </c>
    </row>
    <row r="176" spans="1:9" hidden="1" x14ac:dyDescent="0.3">
      <c r="A176">
        <v>20723493</v>
      </c>
      <c r="B176">
        <v>1</v>
      </c>
      <c r="C176">
        <v>9</v>
      </c>
      <c r="D176">
        <v>9</v>
      </c>
      <c r="E176">
        <v>26</v>
      </c>
      <c r="F176">
        <v>27</v>
      </c>
      <c r="G176">
        <v>63</v>
      </c>
      <c r="H176">
        <v>135</v>
      </c>
      <c r="I176" s="2">
        <v>6.6666666666666666E-2</v>
      </c>
    </row>
    <row r="177" spans="1:9" hidden="1" x14ac:dyDescent="0.3">
      <c r="A177">
        <v>20868962</v>
      </c>
      <c r="B177">
        <v>1</v>
      </c>
      <c r="C177">
        <v>6</v>
      </c>
      <c r="D177">
        <v>9</v>
      </c>
      <c r="E177">
        <v>26</v>
      </c>
      <c r="F177">
        <v>62</v>
      </c>
      <c r="G177">
        <v>105</v>
      </c>
      <c r="H177">
        <v>209</v>
      </c>
      <c r="I177" s="2">
        <v>2.8708133971291867E-2</v>
      </c>
    </row>
    <row r="178" spans="1:9" hidden="1" x14ac:dyDescent="0.3">
      <c r="A178">
        <v>20874408</v>
      </c>
      <c r="B178">
        <v>1</v>
      </c>
      <c r="C178">
        <v>6</v>
      </c>
      <c r="D178">
        <v>50</v>
      </c>
      <c r="E178">
        <v>86</v>
      </c>
      <c r="F178">
        <v>188</v>
      </c>
      <c r="G178">
        <v>138</v>
      </c>
      <c r="H178">
        <v>469</v>
      </c>
      <c r="I178" s="2">
        <v>1.279317697228145E-2</v>
      </c>
    </row>
    <row r="179" spans="1:9" hidden="1" x14ac:dyDescent="0.3">
      <c r="A179">
        <v>20961394</v>
      </c>
      <c r="B179">
        <v>1</v>
      </c>
      <c r="C179">
        <v>6</v>
      </c>
      <c r="D179">
        <v>16</v>
      </c>
      <c r="E179">
        <v>37</v>
      </c>
      <c r="F179">
        <v>85</v>
      </c>
      <c r="G179">
        <v>83</v>
      </c>
      <c r="H179">
        <v>228</v>
      </c>
      <c r="I179" s="2">
        <v>2.6315789473684209E-2</v>
      </c>
    </row>
    <row r="180" spans="1:9" hidden="1" x14ac:dyDescent="0.3">
      <c r="A180">
        <v>21063369</v>
      </c>
      <c r="B180">
        <v>1</v>
      </c>
      <c r="C180">
        <v>6</v>
      </c>
      <c r="D180">
        <v>1</v>
      </c>
      <c r="E180">
        <v>4</v>
      </c>
      <c r="F180">
        <v>25</v>
      </c>
      <c r="G180">
        <v>100</v>
      </c>
      <c r="H180">
        <v>137</v>
      </c>
      <c r="I180" s="2">
        <v>4.3795620437956206E-2</v>
      </c>
    </row>
    <row r="181" spans="1:9" hidden="1" x14ac:dyDescent="0.3">
      <c r="A181">
        <v>21109367</v>
      </c>
      <c r="B181">
        <v>1</v>
      </c>
      <c r="C181">
        <v>7</v>
      </c>
      <c r="D181">
        <v>3</v>
      </c>
      <c r="E181">
        <v>12</v>
      </c>
      <c r="F181">
        <v>21</v>
      </c>
      <c r="G181">
        <v>74</v>
      </c>
      <c r="H181">
        <v>118</v>
      </c>
      <c r="I181" s="2">
        <v>5.9322033898305086E-2</v>
      </c>
    </row>
    <row r="182" spans="1:9" hidden="1" x14ac:dyDescent="0.3">
      <c r="A182">
        <v>21154570</v>
      </c>
      <c r="B182">
        <v>1</v>
      </c>
      <c r="C182">
        <v>7</v>
      </c>
      <c r="D182">
        <v>5</v>
      </c>
      <c r="E182">
        <v>13</v>
      </c>
      <c r="F182">
        <v>21</v>
      </c>
      <c r="G182">
        <v>97</v>
      </c>
      <c r="H182">
        <v>144</v>
      </c>
      <c r="I182" s="2">
        <v>4.8611111111111112E-2</v>
      </c>
    </row>
    <row r="183" spans="1:9" hidden="1" x14ac:dyDescent="0.3">
      <c r="A183">
        <v>21174497</v>
      </c>
      <c r="B183">
        <v>1</v>
      </c>
      <c r="C183">
        <v>6</v>
      </c>
      <c r="D183">
        <v>3</v>
      </c>
      <c r="E183">
        <v>17</v>
      </c>
      <c r="F183">
        <v>27</v>
      </c>
      <c r="G183">
        <v>62</v>
      </c>
      <c r="H183">
        <v>116</v>
      </c>
      <c r="I183" s="2">
        <v>5.1724137931034482E-2</v>
      </c>
    </row>
    <row r="184" spans="1:9" hidden="1" x14ac:dyDescent="0.3">
      <c r="A184">
        <v>21289634</v>
      </c>
      <c r="B184">
        <v>1</v>
      </c>
      <c r="C184">
        <v>6</v>
      </c>
      <c r="D184">
        <v>8</v>
      </c>
      <c r="E184">
        <v>7</v>
      </c>
      <c r="F184">
        <v>19</v>
      </c>
      <c r="G184">
        <v>52</v>
      </c>
      <c r="H184">
        <v>93</v>
      </c>
      <c r="I184" s="2">
        <v>6.4516129032258063E-2</v>
      </c>
    </row>
    <row r="185" spans="1:9" hidden="1" x14ac:dyDescent="0.3">
      <c r="A185">
        <v>21316893</v>
      </c>
      <c r="B185">
        <v>1</v>
      </c>
      <c r="C185">
        <v>8</v>
      </c>
      <c r="D185">
        <v>5</v>
      </c>
      <c r="E185">
        <v>15</v>
      </c>
      <c r="F185">
        <v>17</v>
      </c>
      <c r="G185">
        <v>47</v>
      </c>
      <c r="H185">
        <v>93</v>
      </c>
      <c r="I185" s="2">
        <v>8.6021505376344093E-2</v>
      </c>
    </row>
    <row r="186" spans="1:9" hidden="1" x14ac:dyDescent="0.3">
      <c r="A186">
        <v>21332401</v>
      </c>
      <c r="B186">
        <v>1</v>
      </c>
      <c r="C186">
        <v>8</v>
      </c>
      <c r="D186">
        <v>10</v>
      </c>
      <c r="E186">
        <v>41</v>
      </c>
      <c r="F186">
        <v>56</v>
      </c>
      <c r="G186">
        <v>88</v>
      </c>
      <c r="H186">
        <v>204</v>
      </c>
      <c r="I186" s="2">
        <v>3.9215686274509803E-2</v>
      </c>
    </row>
    <row r="187" spans="1:9" hidden="1" x14ac:dyDescent="0.3">
      <c r="A187">
        <v>21447129</v>
      </c>
      <c r="B187">
        <v>1</v>
      </c>
      <c r="C187">
        <v>8</v>
      </c>
      <c r="D187">
        <v>3</v>
      </c>
      <c r="E187">
        <v>2</v>
      </c>
      <c r="F187">
        <v>22</v>
      </c>
      <c r="G187">
        <v>38</v>
      </c>
      <c r="H187">
        <v>74</v>
      </c>
      <c r="I187" s="2">
        <v>0.10810810810810811</v>
      </c>
    </row>
    <row r="188" spans="1:9" hidden="1" x14ac:dyDescent="0.3">
      <c r="A188">
        <v>21455148</v>
      </c>
      <c r="B188">
        <v>1</v>
      </c>
      <c r="C188">
        <v>12</v>
      </c>
      <c r="D188">
        <v>14</v>
      </c>
      <c r="E188">
        <v>42</v>
      </c>
      <c r="F188">
        <v>80</v>
      </c>
      <c r="G188">
        <v>99</v>
      </c>
      <c r="H188">
        <v>248</v>
      </c>
      <c r="I188" s="2">
        <v>4.8387096774193547E-2</v>
      </c>
    </row>
    <row r="189" spans="1:9" hidden="1" x14ac:dyDescent="0.3">
      <c r="A189">
        <v>21508695</v>
      </c>
      <c r="B189">
        <v>1</v>
      </c>
      <c r="C189">
        <v>12</v>
      </c>
      <c r="D189">
        <v>12</v>
      </c>
      <c r="E189">
        <v>13</v>
      </c>
      <c r="F189">
        <v>29</v>
      </c>
      <c r="G189">
        <v>93</v>
      </c>
      <c r="H189">
        <v>160</v>
      </c>
      <c r="I189" s="2">
        <v>7.4999999999999997E-2</v>
      </c>
    </row>
    <row r="190" spans="1:9" hidden="1" x14ac:dyDescent="0.3">
      <c r="A190">
        <v>21637377</v>
      </c>
      <c r="B190">
        <v>1</v>
      </c>
      <c r="C190">
        <v>11</v>
      </c>
      <c r="D190">
        <v>2</v>
      </c>
      <c r="E190">
        <v>13</v>
      </c>
      <c r="F190">
        <v>21</v>
      </c>
      <c r="G190">
        <v>84</v>
      </c>
      <c r="H190">
        <v>132</v>
      </c>
      <c r="I190" s="2">
        <v>8.3333333333333329E-2</v>
      </c>
    </row>
    <row r="191" spans="1:9" hidden="1" x14ac:dyDescent="0.3">
      <c r="A191">
        <v>21656788</v>
      </c>
      <c r="B191">
        <v>1</v>
      </c>
      <c r="C191">
        <v>10</v>
      </c>
      <c r="D191">
        <v>13</v>
      </c>
      <c r="E191">
        <v>40</v>
      </c>
      <c r="F191">
        <v>83</v>
      </c>
      <c r="G191">
        <v>104</v>
      </c>
      <c r="H191">
        <v>251</v>
      </c>
      <c r="I191" s="2">
        <v>3.9840637450199202E-2</v>
      </c>
    </row>
    <row r="192" spans="1:9" hidden="1" x14ac:dyDescent="0.3">
      <c r="A192">
        <v>21724767</v>
      </c>
      <c r="B192">
        <v>1</v>
      </c>
      <c r="C192">
        <v>8</v>
      </c>
      <c r="D192">
        <v>3</v>
      </c>
      <c r="E192">
        <v>13</v>
      </c>
      <c r="F192">
        <v>20</v>
      </c>
      <c r="G192">
        <v>96</v>
      </c>
      <c r="H192">
        <v>141</v>
      </c>
      <c r="I192" s="2">
        <v>5.6737588652482268E-2</v>
      </c>
    </row>
    <row r="193" spans="1:9" hidden="1" x14ac:dyDescent="0.3">
      <c r="A193">
        <v>21775316</v>
      </c>
      <c r="B193">
        <v>1</v>
      </c>
      <c r="C193">
        <v>13</v>
      </c>
      <c r="D193">
        <v>9</v>
      </c>
      <c r="E193">
        <v>21</v>
      </c>
      <c r="F193">
        <v>60</v>
      </c>
      <c r="G193">
        <v>104</v>
      </c>
      <c r="H193">
        <v>208</v>
      </c>
      <c r="I193" s="2">
        <v>6.25E-2</v>
      </c>
    </row>
    <row r="194" spans="1:9" hidden="1" x14ac:dyDescent="0.3">
      <c r="A194">
        <v>21999677</v>
      </c>
      <c r="B194">
        <v>1</v>
      </c>
      <c r="C194">
        <v>11</v>
      </c>
      <c r="D194">
        <v>17</v>
      </c>
      <c r="E194">
        <v>33</v>
      </c>
      <c r="F194">
        <v>20</v>
      </c>
      <c r="G194">
        <v>52</v>
      </c>
      <c r="H194">
        <v>134</v>
      </c>
      <c r="I194" s="2">
        <v>8.2089552238805971E-2</v>
      </c>
    </row>
    <row r="195" spans="1:9" hidden="1" x14ac:dyDescent="0.3">
      <c r="A195">
        <v>22190301</v>
      </c>
      <c r="B195">
        <v>1</v>
      </c>
      <c r="C195">
        <v>6</v>
      </c>
      <c r="D195">
        <v>2</v>
      </c>
      <c r="E195">
        <v>36</v>
      </c>
      <c r="F195">
        <v>35</v>
      </c>
      <c r="G195">
        <v>55</v>
      </c>
      <c r="H195">
        <v>135</v>
      </c>
      <c r="I195" s="2">
        <v>4.4444444444444446E-2</v>
      </c>
    </row>
    <row r="196" spans="1:9" hidden="1" x14ac:dyDescent="0.3">
      <c r="A196">
        <v>22230731</v>
      </c>
      <c r="B196">
        <v>1</v>
      </c>
      <c r="C196">
        <v>6</v>
      </c>
      <c r="D196">
        <v>5</v>
      </c>
      <c r="E196">
        <v>27</v>
      </c>
      <c r="F196">
        <v>85</v>
      </c>
      <c r="G196">
        <v>111</v>
      </c>
      <c r="H196">
        <v>235</v>
      </c>
      <c r="I196" s="2">
        <v>2.553191489361702E-2</v>
      </c>
    </row>
    <row r="197" spans="1:9" hidden="1" x14ac:dyDescent="0.3">
      <c r="A197">
        <v>22235214</v>
      </c>
      <c r="B197">
        <v>1</v>
      </c>
      <c r="C197">
        <v>19</v>
      </c>
      <c r="D197">
        <v>11</v>
      </c>
      <c r="E197">
        <v>58</v>
      </c>
      <c r="F197">
        <v>191</v>
      </c>
      <c r="G197">
        <v>171</v>
      </c>
      <c r="H197">
        <v>451</v>
      </c>
      <c r="I197" s="2">
        <v>4.2128603104212861E-2</v>
      </c>
    </row>
    <row r="198" spans="1:9" hidden="1" x14ac:dyDescent="0.3">
      <c r="A198">
        <v>22246705</v>
      </c>
      <c r="B198">
        <v>1</v>
      </c>
      <c r="C198">
        <v>6</v>
      </c>
      <c r="D198">
        <v>6</v>
      </c>
      <c r="E198">
        <v>44</v>
      </c>
      <c r="F198">
        <v>88</v>
      </c>
      <c r="G198">
        <v>83</v>
      </c>
      <c r="H198">
        <v>228</v>
      </c>
      <c r="I198" s="2">
        <v>2.6315789473684209E-2</v>
      </c>
    </row>
    <row r="199" spans="1:9" hidden="1" x14ac:dyDescent="0.3">
      <c r="A199">
        <v>22354839</v>
      </c>
      <c r="B199">
        <v>1</v>
      </c>
      <c r="C199">
        <v>6</v>
      </c>
      <c r="D199">
        <v>6</v>
      </c>
      <c r="E199">
        <v>28</v>
      </c>
      <c r="F199">
        <v>25</v>
      </c>
      <c r="G199">
        <v>73</v>
      </c>
      <c r="H199">
        <v>139</v>
      </c>
      <c r="I199" s="2">
        <v>4.3165467625899283E-2</v>
      </c>
    </row>
    <row r="200" spans="1:9" hidden="1" x14ac:dyDescent="0.3">
      <c r="A200">
        <v>22467496</v>
      </c>
      <c r="B200">
        <v>1</v>
      </c>
      <c r="C200">
        <v>6</v>
      </c>
      <c r="D200">
        <v>5</v>
      </c>
      <c r="E200">
        <v>17</v>
      </c>
      <c r="F200">
        <v>40</v>
      </c>
      <c r="G200">
        <v>80</v>
      </c>
      <c r="H200">
        <v>149</v>
      </c>
      <c r="I200" s="2">
        <v>4.0268456375838924E-2</v>
      </c>
    </row>
    <row r="201" spans="1:9" hidden="1" x14ac:dyDescent="0.3">
      <c r="A201">
        <v>22491746</v>
      </c>
      <c r="B201">
        <v>1</v>
      </c>
      <c r="C201">
        <v>6</v>
      </c>
      <c r="D201">
        <v>2</v>
      </c>
      <c r="E201">
        <v>30</v>
      </c>
      <c r="F201">
        <v>24</v>
      </c>
      <c r="G201">
        <v>51</v>
      </c>
      <c r="H201">
        <v>114</v>
      </c>
      <c r="I201" s="2">
        <v>5.2631578947368418E-2</v>
      </c>
    </row>
    <row r="202" spans="1:9" hidden="1" x14ac:dyDescent="0.3">
      <c r="A202">
        <v>22497622</v>
      </c>
      <c r="B202">
        <v>1</v>
      </c>
      <c r="C202">
        <v>37</v>
      </c>
      <c r="D202">
        <v>35</v>
      </c>
      <c r="E202">
        <v>68</v>
      </c>
      <c r="F202">
        <v>167</v>
      </c>
      <c r="G202">
        <v>140</v>
      </c>
      <c r="H202">
        <v>448</v>
      </c>
      <c r="I202" s="2">
        <v>8.2589285714285712E-2</v>
      </c>
    </row>
    <row r="203" spans="1:9" hidden="1" x14ac:dyDescent="0.3">
      <c r="A203">
        <v>22760945</v>
      </c>
      <c r="B203">
        <v>1</v>
      </c>
      <c r="C203">
        <v>23</v>
      </c>
      <c r="D203">
        <v>1</v>
      </c>
      <c r="E203">
        <v>2</v>
      </c>
      <c r="F203">
        <v>9</v>
      </c>
      <c r="G203">
        <v>42</v>
      </c>
      <c r="H203">
        <v>78</v>
      </c>
      <c r="I203" s="2">
        <v>0.29487179487179488</v>
      </c>
    </row>
    <row r="204" spans="1:9" hidden="1" x14ac:dyDescent="0.3">
      <c r="A204">
        <v>22776717</v>
      </c>
      <c r="B204">
        <v>1</v>
      </c>
      <c r="C204">
        <v>12</v>
      </c>
      <c r="D204">
        <v>10</v>
      </c>
      <c r="E204">
        <v>13</v>
      </c>
      <c r="F204">
        <v>65</v>
      </c>
      <c r="G204">
        <v>129</v>
      </c>
      <c r="H204">
        <v>230</v>
      </c>
      <c r="I204" s="2">
        <v>5.2173913043478258E-2</v>
      </c>
    </row>
    <row r="205" spans="1:9" hidden="1" x14ac:dyDescent="0.3">
      <c r="A205">
        <v>22908427</v>
      </c>
      <c r="B205">
        <v>1</v>
      </c>
      <c r="C205">
        <v>8</v>
      </c>
      <c r="D205">
        <v>6</v>
      </c>
      <c r="E205">
        <v>37</v>
      </c>
      <c r="F205">
        <v>130</v>
      </c>
      <c r="G205">
        <v>129</v>
      </c>
      <c r="H205">
        <v>311</v>
      </c>
      <c r="I205" s="2">
        <v>2.5723472668810289E-2</v>
      </c>
    </row>
    <row r="206" spans="1:9" hidden="1" x14ac:dyDescent="0.3">
      <c r="A206">
        <v>23117606</v>
      </c>
      <c r="B206">
        <v>1</v>
      </c>
      <c r="C206">
        <v>6</v>
      </c>
      <c r="D206">
        <v>6</v>
      </c>
      <c r="E206">
        <v>22</v>
      </c>
      <c r="F206">
        <v>45</v>
      </c>
      <c r="G206">
        <v>98</v>
      </c>
      <c r="H206">
        <v>178</v>
      </c>
      <c r="I206" s="2">
        <v>3.3707865168539325E-2</v>
      </c>
    </row>
    <row r="207" spans="1:9" hidden="1" x14ac:dyDescent="0.3">
      <c r="A207">
        <v>23253589</v>
      </c>
      <c r="B207">
        <v>1</v>
      </c>
      <c r="C207">
        <v>20</v>
      </c>
      <c r="D207">
        <v>56</v>
      </c>
      <c r="E207">
        <v>59</v>
      </c>
      <c r="F207">
        <v>124</v>
      </c>
      <c r="G207">
        <v>94</v>
      </c>
      <c r="H207">
        <v>354</v>
      </c>
      <c r="I207" s="2">
        <v>5.6497175141242938E-2</v>
      </c>
    </row>
    <row r="208" spans="1:9" hidden="1" x14ac:dyDescent="0.3">
      <c r="A208">
        <v>23289763</v>
      </c>
      <c r="B208">
        <v>1</v>
      </c>
      <c r="C208">
        <v>10</v>
      </c>
      <c r="D208">
        <v>6</v>
      </c>
      <c r="E208">
        <v>6</v>
      </c>
      <c r="F208">
        <v>2</v>
      </c>
      <c r="G208">
        <v>12</v>
      </c>
      <c r="H208">
        <v>37</v>
      </c>
      <c r="I208" s="2">
        <v>0.27027027027027029</v>
      </c>
    </row>
    <row r="209" spans="1:9" hidden="1" x14ac:dyDescent="0.3">
      <c r="A209">
        <v>23440827</v>
      </c>
      <c r="B209">
        <v>1</v>
      </c>
      <c r="C209">
        <v>11</v>
      </c>
      <c r="D209">
        <v>12</v>
      </c>
      <c r="E209">
        <v>54</v>
      </c>
      <c r="F209">
        <v>98</v>
      </c>
      <c r="G209">
        <v>125</v>
      </c>
      <c r="H209">
        <v>301</v>
      </c>
      <c r="I209" s="2">
        <v>3.6544850498338874E-2</v>
      </c>
    </row>
    <row r="210" spans="1:9" hidden="1" x14ac:dyDescent="0.3">
      <c r="A210">
        <v>23704979</v>
      </c>
      <c r="B210">
        <v>1</v>
      </c>
      <c r="C210">
        <v>7</v>
      </c>
      <c r="D210">
        <v>2</v>
      </c>
      <c r="E210">
        <v>8</v>
      </c>
      <c r="F210">
        <v>27</v>
      </c>
      <c r="G210">
        <v>72</v>
      </c>
      <c r="H210">
        <v>117</v>
      </c>
      <c r="I210" s="2">
        <v>5.9829059829059832E-2</v>
      </c>
    </row>
    <row r="211" spans="1:9" hidden="1" x14ac:dyDescent="0.3">
      <c r="A211">
        <v>23720762</v>
      </c>
      <c r="B211">
        <v>1</v>
      </c>
      <c r="C211">
        <v>6</v>
      </c>
      <c r="D211">
        <v>2</v>
      </c>
      <c r="E211">
        <v>8</v>
      </c>
      <c r="F211">
        <v>7</v>
      </c>
      <c r="G211">
        <v>33</v>
      </c>
      <c r="H211">
        <v>57</v>
      </c>
      <c r="I211" s="2">
        <v>0.10526315789473684</v>
      </c>
    </row>
    <row r="212" spans="1:9" hidden="1" x14ac:dyDescent="0.3">
      <c r="A212">
        <v>23788304</v>
      </c>
      <c r="B212">
        <v>1</v>
      </c>
      <c r="C212">
        <v>7</v>
      </c>
      <c r="D212">
        <v>2</v>
      </c>
      <c r="E212">
        <v>47</v>
      </c>
      <c r="F212">
        <v>44</v>
      </c>
      <c r="G212">
        <v>104</v>
      </c>
      <c r="H212">
        <v>205</v>
      </c>
      <c r="I212" s="2">
        <v>3.4146341463414637E-2</v>
      </c>
    </row>
    <row r="213" spans="1:9" hidden="1" x14ac:dyDescent="0.3">
      <c r="A213">
        <v>23832593</v>
      </c>
      <c r="B213">
        <v>1</v>
      </c>
      <c r="C213">
        <v>6</v>
      </c>
      <c r="D213">
        <v>14</v>
      </c>
      <c r="E213">
        <v>33</v>
      </c>
      <c r="F213">
        <v>72</v>
      </c>
      <c r="G213">
        <v>96</v>
      </c>
      <c r="H213">
        <v>222</v>
      </c>
      <c r="I213" s="2">
        <v>2.7027027027027029E-2</v>
      </c>
    </row>
    <row r="214" spans="1:9" hidden="1" x14ac:dyDescent="0.3">
      <c r="A214">
        <v>24013908</v>
      </c>
      <c r="B214">
        <v>1</v>
      </c>
      <c r="C214">
        <v>6</v>
      </c>
      <c r="D214">
        <v>2</v>
      </c>
      <c r="E214">
        <v>7</v>
      </c>
      <c r="F214">
        <v>17</v>
      </c>
      <c r="G214">
        <v>52</v>
      </c>
      <c r="H214">
        <v>85</v>
      </c>
      <c r="I214" s="2">
        <v>7.0588235294117646E-2</v>
      </c>
    </row>
    <row r="215" spans="1:9" hidden="1" x14ac:dyDescent="0.3">
      <c r="A215">
        <v>24027589</v>
      </c>
      <c r="B215">
        <v>1</v>
      </c>
      <c r="C215">
        <v>10</v>
      </c>
      <c r="D215">
        <v>8</v>
      </c>
      <c r="E215">
        <v>16</v>
      </c>
      <c r="F215">
        <v>46</v>
      </c>
      <c r="G215">
        <v>83</v>
      </c>
      <c r="H215">
        <v>164</v>
      </c>
      <c r="I215" s="2">
        <v>6.097560975609756E-2</v>
      </c>
    </row>
    <row r="216" spans="1:9" hidden="1" x14ac:dyDescent="0.3">
      <c r="A216">
        <v>24124378</v>
      </c>
      <c r="B216">
        <v>1</v>
      </c>
      <c r="C216">
        <v>48</v>
      </c>
      <c r="D216">
        <v>51</v>
      </c>
      <c r="E216">
        <v>28</v>
      </c>
      <c r="F216">
        <v>11</v>
      </c>
      <c r="G216">
        <v>53</v>
      </c>
      <c r="H216">
        <v>192</v>
      </c>
      <c r="I216" s="2">
        <v>0.25</v>
      </c>
    </row>
    <row r="217" spans="1:9" hidden="1" x14ac:dyDescent="0.3">
      <c r="A217">
        <v>24239519</v>
      </c>
      <c r="B217">
        <v>1</v>
      </c>
      <c r="C217">
        <v>6</v>
      </c>
      <c r="D217">
        <v>3</v>
      </c>
      <c r="E217">
        <v>11</v>
      </c>
      <c r="F217">
        <v>8</v>
      </c>
      <c r="G217">
        <v>27</v>
      </c>
      <c r="H217">
        <v>56</v>
      </c>
      <c r="I217" s="2">
        <v>0.10714285714285714</v>
      </c>
    </row>
    <row r="218" spans="1:9" hidden="1" x14ac:dyDescent="0.3">
      <c r="A218">
        <v>24285302</v>
      </c>
      <c r="B218">
        <v>1</v>
      </c>
      <c r="C218">
        <v>15</v>
      </c>
      <c r="D218">
        <v>15</v>
      </c>
      <c r="E218">
        <v>128</v>
      </c>
      <c r="F218">
        <v>87</v>
      </c>
      <c r="G218">
        <v>90</v>
      </c>
      <c r="H218">
        <v>336</v>
      </c>
      <c r="I218" s="2">
        <v>4.4642857142857144E-2</v>
      </c>
    </row>
    <row r="219" spans="1:9" hidden="1" x14ac:dyDescent="0.3">
      <c r="A219">
        <v>24421461</v>
      </c>
      <c r="B219">
        <v>1</v>
      </c>
      <c r="C219">
        <v>13</v>
      </c>
      <c r="D219">
        <v>4</v>
      </c>
      <c r="E219">
        <v>13</v>
      </c>
      <c r="F219">
        <v>32</v>
      </c>
      <c r="G219">
        <v>45</v>
      </c>
      <c r="H219">
        <v>108</v>
      </c>
      <c r="I219" s="2">
        <v>0.12037037037037036</v>
      </c>
    </row>
    <row r="220" spans="1:9" hidden="1" x14ac:dyDescent="0.3">
      <c r="A220">
        <v>24473597</v>
      </c>
      <c r="B220">
        <v>1</v>
      </c>
      <c r="C220">
        <v>6</v>
      </c>
      <c r="D220">
        <v>5</v>
      </c>
      <c r="E220">
        <v>10</v>
      </c>
      <c r="F220">
        <v>6</v>
      </c>
      <c r="G220">
        <v>26</v>
      </c>
      <c r="H220">
        <v>54</v>
      </c>
      <c r="I220" s="2">
        <v>0.1111111111111111</v>
      </c>
    </row>
    <row r="221" spans="1:9" hidden="1" x14ac:dyDescent="0.3">
      <c r="A221">
        <v>24565809</v>
      </c>
      <c r="B221">
        <v>1</v>
      </c>
      <c r="C221">
        <v>14</v>
      </c>
      <c r="D221">
        <v>11</v>
      </c>
      <c r="E221">
        <v>69</v>
      </c>
      <c r="F221">
        <v>63</v>
      </c>
      <c r="G221">
        <v>52</v>
      </c>
      <c r="H221">
        <v>210</v>
      </c>
      <c r="I221" s="2">
        <v>6.6666666666666666E-2</v>
      </c>
    </row>
    <row r="222" spans="1:9" hidden="1" x14ac:dyDescent="0.3">
      <c r="A222">
        <v>24575505</v>
      </c>
      <c r="B222">
        <v>1</v>
      </c>
      <c r="C222">
        <v>7</v>
      </c>
      <c r="D222">
        <v>10</v>
      </c>
      <c r="E222">
        <v>58</v>
      </c>
      <c r="F222">
        <v>133</v>
      </c>
      <c r="G222">
        <v>105</v>
      </c>
      <c r="H222">
        <v>314</v>
      </c>
      <c r="I222" s="2">
        <v>2.2292993630573247E-2</v>
      </c>
    </row>
    <row r="223" spans="1:9" hidden="1" x14ac:dyDescent="0.3">
      <c r="A223">
        <v>24753970</v>
      </c>
      <c r="B223">
        <v>1</v>
      </c>
      <c r="C223">
        <v>6</v>
      </c>
      <c r="D223">
        <v>4</v>
      </c>
      <c r="E223">
        <v>16</v>
      </c>
      <c r="F223">
        <v>24</v>
      </c>
      <c r="G223">
        <v>86</v>
      </c>
      <c r="H223">
        <v>137</v>
      </c>
      <c r="I223" s="2">
        <v>4.3795620437956206E-2</v>
      </c>
    </row>
    <row r="224" spans="1:9" hidden="1" x14ac:dyDescent="0.3">
      <c r="A224">
        <v>24809593</v>
      </c>
      <c r="B224">
        <v>1</v>
      </c>
      <c r="C224">
        <v>9</v>
      </c>
      <c r="D224">
        <v>0</v>
      </c>
      <c r="E224">
        <v>3</v>
      </c>
      <c r="F224">
        <v>6</v>
      </c>
      <c r="G224">
        <v>23</v>
      </c>
      <c r="H224">
        <v>42</v>
      </c>
      <c r="I224" s="2">
        <v>0.21428571428571427</v>
      </c>
    </row>
    <row r="225" spans="1:9" hidden="1" x14ac:dyDescent="0.3">
      <c r="A225">
        <v>24831111</v>
      </c>
      <c r="B225">
        <v>1</v>
      </c>
      <c r="C225">
        <v>11</v>
      </c>
      <c r="D225">
        <v>4</v>
      </c>
      <c r="E225">
        <v>9</v>
      </c>
      <c r="F225">
        <v>11</v>
      </c>
      <c r="G225">
        <v>18</v>
      </c>
      <c r="H225">
        <v>54</v>
      </c>
      <c r="I225" s="2">
        <v>0.20370370370370369</v>
      </c>
    </row>
    <row r="226" spans="1:9" hidden="1" x14ac:dyDescent="0.3">
      <c r="A226">
        <v>24874462</v>
      </c>
      <c r="B226">
        <v>1</v>
      </c>
      <c r="C226">
        <v>8</v>
      </c>
      <c r="D226">
        <v>14</v>
      </c>
      <c r="E226">
        <v>33</v>
      </c>
      <c r="F226">
        <v>37</v>
      </c>
      <c r="G226">
        <v>69</v>
      </c>
      <c r="H226">
        <v>162</v>
      </c>
      <c r="I226" s="2">
        <v>4.9382716049382713E-2</v>
      </c>
    </row>
    <row r="227" spans="1:9" hidden="1" x14ac:dyDescent="0.3">
      <c r="A227">
        <v>24936243</v>
      </c>
      <c r="B227">
        <v>1</v>
      </c>
      <c r="C227">
        <v>13</v>
      </c>
      <c r="D227">
        <v>5</v>
      </c>
      <c r="E227">
        <v>6</v>
      </c>
      <c r="F227">
        <v>24</v>
      </c>
      <c r="G227">
        <v>59</v>
      </c>
      <c r="H227">
        <v>108</v>
      </c>
      <c r="I227" s="2">
        <v>0.12037037037037036</v>
      </c>
    </row>
    <row r="228" spans="1:9" hidden="1" x14ac:dyDescent="0.3">
      <c r="A228">
        <v>25018133</v>
      </c>
      <c r="B228">
        <v>1</v>
      </c>
      <c r="C228">
        <v>15</v>
      </c>
      <c r="D228">
        <v>10</v>
      </c>
      <c r="E228">
        <v>25</v>
      </c>
      <c r="F228">
        <v>60</v>
      </c>
      <c r="G228">
        <v>59</v>
      </c>
      <c r="H228">
        <v>170</v>
      </c>
      <c r="I228" s="2">
        <v>8.8235294117647065E-2</v>
      </c>
    </row>
    <row r="229" spans="1:9" hidden="1" x14ac:dyDescent="0.3">
      <c r="A229">
        <v>25036568</v>
      </c>
      <c r="B229">
        <v>1</v>
      </c>
      <c r="C229">
        <v>8</v>
      </c>
      <c r="D229">
        <v>10</v>
      </c>
      <c r="E229">
        <v>12</v>
      </c>
      <c r="F229">
        <v>51</v>
      </c>
      <c r="G229">
        <v>70</v>
      </c>
      <c r="H229">
        <v>152</v>
      </c>
      <c r="I229" s="2">
        <v>5.2631578947368418E-2</v>
      </c>
    </row>
    <row r="230" spans="1:9" hidden="1" x14ac:dyDescent="0.3">
      <c r="A230">
        <v>25349323</v>
      </c>
      <c r="B230">
        <v>1</v>
      </c>
      <c r="C230">
        <v>8</v>
      </c>
      <c r="D230">
        <v>5</v>
      </c>
      <c r="E230">
        <v>31</v>
      </c>
      <c r="F230">
        <v>79</v>
      </c>
      <c r="G230">
        <v>149</v>
      </c>
      <c r="H230">
        <v>273</v>
      </c>
      <c r="I230" s="2">
        <v>2.9304029304029304E-2</v>
      </c>
    </row>
    <row r="231" spans="1:9" hidden="1" x14ac:dyDescent="0.3">
      <c r="A231">
        <v>25360584</v>
      </c>
      <c r="B231">
        <v>1</v>
      </c>
      <c r="C231">
        <v>6</v>
      </c>
      <c r="D231">
        <v>5</v>
      </c>
      <c r="E231">
        <v>16</v>
      </c>
      <c r="F231">
        <v>23</v>
      </c>
      <c r="G231">
        <v>71</v>
      </c>
      <c r="H231">
        <v>122</v>
      </c>
      <c r="I231" s="2">
        <v>4.9180327868852458E-2</v>
      </c>
    </row>
    <row r="232" spans="1:9" hidden="1" x14ac:dyDescent="0.3">
      <c r="A232">
        <v>25431907</v>
      </c>
      <c r="B232">
        <v>1</v>
      </c>
      <c r="C232">
        <v>24</v>
      </c>
      <c r="D232">
        <v>7</v>
      </c>
      <c r="E232">
        <v>11</v>
      </c>
      <c r="F232">
        <v>21</v>
      </c>
      <c r="G232">
        <v>61</v>
      </c>
      <c r="H232">
        <v>125</v>
      </c>
      <c r="I232" s="2">
        <v>0.192</v>
      </c>
    </row>
    <row r="233" spans="1:9" hidden="1" x14ac:dyDescent="0.3">
      <c r="A233">
        <v>25666916</v>
      </c>
      <c r="B233">
        <v>1</v>
      </c>
      <c r="C233">
        <v>7</v>
      </c>
      <c r="D233">
        <v>2</v>
      </c>
      <c r="E233">
        <v>10</v>
      </c>
      <c r="F233">
        <v>18</v>
      </c>
      <c r="G233">
        <v>66</v>
      </c>
      <c r="H233">
        <v>104</v>
      </c>
      <c r="I233" s="2">
        <v>6.7307692307692304E-2</v>
      </c>
    </row>
    <row r="234" spans="1:9" hidden="1" x14ac:dyDescent="0.3">
      <c r="A234">
        <v>25844921</v>
      </c>
      <c r="B234">
        <v>1</v>
      </c>
      <c r="C234">
        <v>57</v>
      </c>
      <c r="D234">
        <v>49</v>
      </c>
      <c r="E234">
        <v>96</v>
      </c>
      <c r="F234">
        <v>303</v>
      </c>
      <c r="G234">
        <v>226</v>
      </c>
      <c r="H234">
        <v>732</v>
      </c>
      <c r="I234" s="2">
        <v>7.7868852459016397E-2</v>
      </c>
    </row>
    <row r="235" spans="1:9" hidden="1" x14ac:dyDescent="0.3">
      <c r="A235">
        <v>25921983</v>
      </c>
      <c r="B235">
        <v>1</v>
      </c>
      <c r="C235">
        <v>6</v>
      </c>
      <c r="D235">
        <v>5</v>
      </c>
      <c r="E235">
        <v>31</v>
      </c>
      <c r="F235">
        <v>67</v>
      </c>
      <c r="G235">
        <v>151</v>
      </c>
      <c r="H235">
        <v>261</v>
      </c>
      <c r="I235" s="2">
        <v>2.2988505747126436E-2</v>
      </c>
    </row>
    <row r="236" spans="1:9" hidden="1" x14ac:dyDescent="0.3">
      <c r="A236">
        <v>26074604</v>
      </c>
      <c r="B236">
        <v>1</v>
      </c>
      <c r="C236">
        <v>7</v>
      </c>
      <c r="D236">
        <v>6</v>
      </c>
      <c r="E236">
        <v>3</v>
      </c>
      <c r="F236">
        <v>10</v>
      </c>
      <c r="G236">
        <v>14</v>
      </c>
      <c r="H236">
        <v>41</v>
      </c>
      <c r="I236" s="2">
        <v>0.17073170731707318</v>
      </c>
    </row>
    <row r="237" spans="1:9" hidden="1" x14ac:dyDescent="0.3">
      <c r="A237">
        <v>26197953</v>
      </c>
      <c r="B237">
        <v>1</v>
      </c>
      <c r="C237">
        <v>6</v>
      </c>
      <c r="D237">
        <v>13</v>
      </c>
      <c r="E237">
        <v>80</v>
      </c>
      <c r="F237">
        <v>54</v>
      </c>
      <c r="G237">
        <v>82</v>
      </c>
      <c r="H237">
        <v>236</v>
      </c>
      <c r="I237" s="2">
        <v>2.5423728813559324E-2</v>
      </c>
    </row>
    <row r="238" spans="1:9" hidden="1" x14ac:dyDescent="0.3">
      <c r="A238">
        <v>26228513</v>
      </c>
      <c r="B238">
        <v>1</v>
      </c>
      <c r="C238">
        <v>19</v>
      </c>
      <c r="D238">
        <v>17</v>
      </c>
      <c r="E238">
        <v>41</v>
      </c>
      <c r="F238">
        <v>106</v>
      </c>
      <c r="G238">
        <v>119</v>
      </c>
      <c r="H238">
        <v>303</v>
      </c>
      <c r="I238" s="2">
        <v>6.2706270627062702E-2</v>
      </c>
    </row>
    <row r="239" spans="1:9" hidden="1" x14ac:dyDescent="0.3">
      <c r="A239">
        <v>26254326</v>
      </c>
      <c r="B239">
        <v>1</v>
      </c>
      <c r="C239">
        <v>13</v>
      </c>
      <c r="D239">
        <v>30</v>
      </c>
      <c r="E239">
        <v>72</v>
      </c>
      <c r="F239">
        <v>158</v>
      </c>
      <c r="G239">
        <v>154</v>
      </c>
      <c r="H239">
        <v>428</v>
      </c>
      <c r="I239" s="2">
        <v>3.0373831775700934E-2</v>
      </c>
    </row>
    <row r="240" spans="1:9" hidden="1" x14ac:dyDescent="0.3">
      <c r="A240">
        <v>26279987</v>
      </c>
      <c r="B240">
        <v>1</v>
      </c>
      <c r="C240">
        <v>10</v>
      </c>
      <c r="D240">
        <v>7</v>
      </c>
      <c r="E240">
        <v>35</v>
      </c>
      <c r="F240">
        <v>92</v>
      </c>
      <c r="G240">
        <v>113</v>
      </c>
      <c r="H240">
        <v>258</v>
      </c>
      <c r="I240" s="2">
        <v>3.875968992248062E-2</v>
      </c>
    </row>
    <row r="241" spans="1:9" hidden="1" x14ac:dyDescent="0.3">
      <c r="A241">
        <v>26299979</v>
      </c>
      <c r="B241">
        <v>1</v>
      </c>
      <c r="C241">
        <v>20</v>
      </c>
      <c r="D241">
        <v>15</v>
      </c>
      <c r="E241">
        <v>23</v>
      </c>
      <c r="F241">
        <v>38</v>
      </c>
      <c r="G241">
        <v>91</v>
      </c>
      <c r="H241">
        <v>188</v>
      </c>
      <c r="I241" s="2">
        <v>0.10638297872340426</v>
      </c>
    </row>
    <row r="242" spans="1:9" hidden="1" x14ac:dyDescent="0.3">
      <c r="A242">
        <v>26316152</v>
      </c>
      <c r="B242">
        <v>1</v>
      </c>
      <c r="C242">
        <v>8</v>
      </c>
      <c r="D242">
        <v>4</v>
      </c>
      <c r="E242">
        <v>5</v>
      </c>
      <c r="F242">
        <v>13</v>
      </c>
      <c r="G242">
        <v>34</v>
      </c>
      <c r="H242">
        <v>65</v>
      </c>
      <c r="I242" s="2">
        <v>0.12307692307692308</v>
      </c>
    </row>
    <row r="243" spans="1:9" hidden="1" x14ac:dyDescent="0.3">
      <c r="A243">
        <v>26361134</v>
      </c>
      <c r="B243">
        <v>1</v>
      </c>
      <c r="C243">
        <v>7</v>
      </c>
      <c r="D243">
        <v>4</v>
      </c>
      <c r="E243">
        <v>21</v>
      </c>
      <c r="F243">
        <v>62</v>
      </c>
      <c r="G243">
        <v>112</v>
      </c>
      <c r="H243">
        <v>207</v>
      </c>
      <c r="I243" s="2">
        <v>3.3816425120772944E-2</v>
      </c>
    </row>
    <row r="244" spans="1:9" hidden="1" x14ac:dyDescent="0.3">
      <c r="A244">
        <v>26415556</v>
      </c>
      <c r="B244">
        <v>1</v>
      </c>
      <c r="C244">
        <v>9</v>
      </c>
      <c r="D244">
        <v>15</v>
      </c>
      <c r="E244">
        <v>32</v>
      </c>
      <c r="F244">
        <v>9</v>
      </c>
      <c r="G244">
        <v>33</v>
      </c>
      <c r="H244">
        <v>99</v>
      </c>
      <c r="I244" s="2">
        <v>9.0909090909090912E-2</v>
      </c>
    </row>
    <row r="245" spans="1:9" hidden="1" x14ac:dyDescent="0.3">
      <c r="A245">
        <v>26432038</v>
      </c>
      <c r="B245">
        <v>1</v>
      </c>
      <c r="C245">
        <v>9</v>
      </c>
      <c r="D245">
        <v>5</v>
      </c>
      <c r="E245">
        <v>14</v>
      </c>
      <c r="F245">
        <v>30</v>
      </c>
      <c r="G245">
        <v>64</v>
      </c>
      <c r="H245">
        <v>123</v>
      </c>
      <c r="I245" s="2">
        <v>7.3170731707317069E-2</v>
      </c>
    </row>
    <row r="246" spans="1:9" hidden="1" x14ac:dyDescent="0.3">
      <c r="A246">
        <v>26466052</v>
      </c>
      <c r="B246">
        <v>1</v>
      </c>
      <c r="C246">
        <v>11</v>
      </c>
      <c r="D246">
        <v>10</v>
      </c>
      <c r="E246">
        <v>21</v>
      </c>
      <c r="F246">
        <v>71</v>
      </c>
      <c r="G246">
        <v>125</v>
      </c>
      <c r="H246">
        <v>239</v>
      </c>
      <c r="I246" s="2">
        <v>4.6025104602510462E-2</v>
      </c>
    </row>
    <row r="247" spans="1:9" hidden="1" x14ac:dyDescent="0.3">
      <c r="A247">
        <v>26738429</v>
      </c>
      <c r="B247">
        <v>1</v>
      </c>
      <c r="C247">
        <v>6</v>
      </c>
      <c r="D247">
        <v>1</v>
      </c>
      <c r="E247">
        <v>9</v>
      </c>
      <c r="F247">
        <v>22</v>
      </c>
      <c r="G247">
        <v>76</v>
      </c>
      <c r="H247">
        <v>115</v>
      </c>
      <c r="I247" s="2">
        <v>5.2173913043478258E-2</v>
      </c>
    </row>
    <row r="248" spans="1:9" hidden="1" x14ac:dyDescent="0.3">
      <c r="A248">
        <v>26801257</v>
      </c>
      <c r="B248">
        <v>1</v>
      </c>
      <c r="C248">
        <v>6</v>
      </c>
      <c r="D248">
        <v>5</v>
      </c>
      <c r="E248">
        <v>25</v>
      </c>
      <c r="F248">
        <v>86</v>
      </c>
      <c r="G248">
        <v>108</v>
      </c>
      <c r="H248">
        <v>231</v>
      </c>
      <c r="I248" s="2">
        <v>2.5974025974025976E-2</v>
      </c>
    </row>
    <row r="249" spans="1:9" hidden="1" x14ac:dyDescent="0.3">
      <c r="A249">
        <v>26818041</v>
      </c>
      <c r="B249">
        <v>1</v>
      </c>
      <c r="C249">
        <v>7</v>
      </c>
      <c r="D249">
        <v>1</v>
      </c>
      <c r="E249">
        <v>1</v>
      </c>
      <c r="F249">
        <v>10</v>
      </c>
      <c r="G249">
        <v>63</v>
      </c>
      <c r="H249">
        <v>83</v>
      </c>
      <c r="I249" s="2">
        <v>8.4337349397590355E-2</v>
      </c>
    </row>
    <row r="250" spans="1:9" hidden="1" x14ac:dyDescent="0.3">
      <c r="A250">
        <v>26881680</v>
      </c>
      <c r="B250">
        <v>1</v>
      </c>
      <c r="C250">
        <v>13</v>
      </c>
      <c r="D250">
        <v>4</v>
      </c>
      <c r="E250">
        <v>6</v>
      </c>
      <c r="F250">
        <v>20</v>
      </c>
      <c r="G250">
        <v>91</v>
      </c>
      <c r="H250">
        <v>135</v>
      </c>
      <c r="I250" s="2">
        <v>9.6296296296296297E-2</v>
      </c>
    </row>
    <row r="251" spans="1:9" hidden="1" x14ac:dyDescent="0.3">
      <c r="A251">
        <v>26895603</v>
      </c>
      <c r="B251">
        <v>1</v>
      </c>
      <c r="C251">
        <v>9</v>
      </c>
      <c r="D251">
        <v>12</v>
      </c>
      <c r="E251">
        <v>77</v>
      </c>
      <c r="F251">
        <v>153</v>
      </c>
      <c r="G251">
        <v>128</v>
      </c>
      <c r="H251">
        <v>380</v>
      </c>
      <c r="I251" s="2">
        <v>2.368421052631579E-2</v>
      </c>
    </row>
    <row r="252" spans="1:9" hidden="1" x14ac:dyDescent="0.3">
      <c r="A252">
        <v>26914458</v>
      </c>
      <c r="B252">
        <v>1</v>
      </c>
      <c r="C252">
        <v>14</v>
      </c>
      <c r="D252">
        <v>7</v>
      </c>
      <c r="E252">
        <v>24</v>
      </c>
      <c r="F252">
        <v>85</v>
      </c>
      <c r="G252">
        <v>85</v>
      </c>
      <c r="H252">
        <v>216</v>
      </c>
      <c r="I252" s="2">
        <v>6.4814814814814811E-2</v>
      </c>
    </row>
    <row r="253" spans="1:9" hidden="1" x14ac:dyDescent="0.3">
      <c r="A253">
        <v>27128293</v>
      </c>
      <c r="B253">
        <v>1</v>
      </c>
      <c r="C253">
        <v>7</v>
      </c>
      <c r="D253">
        <v>2</v>
      </c>
      <c r="E253">
        <v>1</v>
      </c>
      <c r="F253">
        <v>3</v>
      </c>
      <c r="G253">
        <v>26</v>
      </c>
      <c r="H253">
        <v>40</v>
      </c>
      <c r="I253" s="2">
        <v>0.17499999999999999</v>
      </c>
    </row>
    <row r="254" spans="1:9" hidden="1" x14ac:dyDescent="0.3">
      <c r="A254">
        <v>27201264</v>
      </c>
      <c r="B254">
        <v>1</v>
      </c>
      <c r="C254">
        <v>7</v>
      </c>
      <c r="D254">
        <v>3</v>
      </c>
      <c r="E254">
        <v>11</v>
      </c>
      <c r="F254">
        <v>26</v>
      </c>
      <c r="G254">
        <v>129</v>
      </c>
      <c r="H254">
        <v>177</v>
      </c>
      <c r="I254" s="2">
        <v>3.954802259887006E-2</v>
      </c>
    </row>
    <row r="255" spans="1:9" hidden="1" x14ac:dyDescent="0.3">
      <c r="A255">
        <v>27258015</v>
      </c>
      <c r="B255">
        <v>1</v>
      </c>
      <c r="C255">
        <v>9</v>
      </c>
      <c r="D255">
        <v>16</v>
      </c>
      <c r="E255">
        <v>82</v>
      </c>
      <c r="F255">
        <v>100</v>
      </c>
      <c r="G255">
        <v>88</v>
      </c>
      <c r="H255">
        <v>296</v>
      </c>
      <c r="I255" s="2">
        <v>3.0405405405405407E-2</v>
      </c>
    </row>
    <row r="256" spans="1:9" hidden="1" x14ac:dyDescent="0.3">
      <c r="A256">
        <v>27371460</v>
      </c>
      <c r="B256">
        <v>1</v>
      </c>
      <c r="C256">
        <v>8</v>
      </c>
      <c r="D256">
        <v>3</v>
      </c>
      <c r="E256">
        <v>3</v>
      </c>
      <c r="F256">
        <v>2</v>
      </c>
      <c r="G256">
        <v>25</v>
      </c>
      <c r="H256">
        <v>42</v>
      </c>
      <c r="I256" s="2">
        <v>0.19047619047619047</v>
      </c>
    </row>
    <row r="257" spans="1:9" hidden="1" x14ac:dyDescent="0.3">
      <c r="A257">
        <v>27421436</v>
      </c>
      <c r="B257">
        <v>1</v>
      </c>
      <c r="C257">
        <v>9</v>
      </c>
      <c r="D257">
        <v>1</v>
      </c>
      <c r="E257">
        <v>8</v>
      </c>
      <c r="F257">
        <v>4</v>
      </c>
      <c r="G257">
        <v>22</v>
      </c>
      <c r="H257">
        <v>45</v>
      </c>
      <c r="I257" s="2">
        <v>0.2</v>
      </c>
    </row>
    <row r="258" spans="1:9" hidden="1" x14ac:dyDescent="0.3">
      <c r="A258">
        <v>27454076</v>
      </c>
      <c r="B258">
        <v>1</v>
      </c>
      <c r="C258">
        <v>8</v>
      </c>
      <c r="D258">
        <v>10</v>
      </c>
      <c r="E258">
        <v>30</v>
      </c>
      <c r="F258">
        <v>38</v>
      </c>
      <c r="G258">
        <v>81</v>
      </c>
      <c r="H258">
        <v>168</v>
      </c>
      <c r="I258" s="2">
        <v>4.7619047619047616E-2</v>
      </c>
    </row>
    <row r="259" spans="1:9" hidden="1" x14ac:dyDescent="0.3">
      <c r="A259">
        <v>27543869</v>
      </c>
      <c r="B259">
        <v>1</v>
      </c>
      <c r="C259">
        <v>19</v>
      </c>
      <c r="D259">
        <v>10</v>
      </c>
      <c r="E259">
        <v>13</v>
      </c>
      <c r="F259">
        <v>14</v>
      </c>
      <c r="G259">
        <v>48</v>
      </c>
      <c r="H259">
        <v>105</v>
      </c>
      <c r="I259" s="2">
        <v>0.18095238095238095</v>
      </c>
    </row>
    <row r="260" spans="1:9" hidden="1" x14ac:dyDescent="0.3">
      <c r="A260">
        <v>27684392</v>
      </c>
      <c r="B260">
        <v>1</v>
      </c>
      <c r="C260">
        <v>15</v>
      </c>
      <c r="D260">
        <v>9</v>
      </c>
      <c r="E260">
        <v>36</v>
      </c>
      <c r="F260">
        <v>95</v>
      </c>
      <c r="G260">
        <v>136</v>
      </c>
      <c r="H260">
        <v>292</v>
      </c>
      <c r="I260" s="2">
        <v>5.1369863013698627E-2</v>
      </c>
    </row>
    <row r="261" spans="1:9" hidden="1" x14ac:dyDescent="0.3">
      <c r="A261">
        <v>27748448</v>
      </c>
      <c r="B261">
        <v>1</v>
      </c>
      <c r="C261">
        <v>20</v>
      </c>
      <c r="D261">
        <v>1</v>
      </c>
      <c r="E261">
        <v>3</v>
      </c>
      <c r="F261">
        <v>7</v>
      </c>
      <c r="G261">
        <v>34</v>
      </c>
      <c r="H261">
        <v>66</v>
      </c>
      <c r="I261" s="2">
        <v>0.30303030303030304</v>
      </c>
    </row>
    <row r="262" spans="1:9" hidden="1" x14ac:dyDescent="0.3">
      <c r="A262">
        <v>27761023</v>
      </c>
      <c r="B262">
        <v>1</v>
      </c>
      <c r="C262">
        <v>13</v>
      </c>
      <c r="D262">
        <v>20</v>
      </c>
      <c r="E262">
        <v>126</v>
      </c>
      <c r="F262">
        <v>270</v>
      </c>
      <c r="G262">
        <v>173</v>
      </c>
      <c r="H262">
        <v>603</v>
      </c>
      <c r="I262" s="2">
        <v>2.1558872305140961E-2</v>
      </c>
    </row>
    <row r="263" spans="1:9" hidden="1" x14ac:dyDescent="0.3">
      <c r="A263">
        <v>27868318</v>
      </c>
      <c r="B263">
        <v>1</v>
      </c>
      <c r="C263">
        <v>7</v>
      </c>
      <c r="D263">
        <v>1</v>
      </c>
      <c r="E263">
        <v>14</v>
      </c>
      <c r="F263">
        <v>35</v>
      </c>
      <c r="G263">
        <v>90</v>
      </c>
      <c r="H263">
        <v>148</v>
      </c>
      <c r="I263" s="2">
        <v>4.72972972972973E-2</v>
      </c>
    </row>
    <row r="264" spans="1:9" hidden="1" x14ac:dyDescent="0.3">
      <c r="A264">
        <v>28011184</v>
      </c>
      <c r="B264">
        <v>1</v>
      </c>
      <c r="C264">
        <v>6</v>
      </c>
      <c r="D264">
        <v>8</v>
      </c>
      <c r="E264">
        <v>5</v>
      </c>
      <c r="F264">
        <v>13</v>
      </c>
      <c r="G264">
        <v>55</v>
      </c>
      <c r="H264">
        <v>88</v>
      </c>
      <c r="I264" s="2">
        <v>6.8181818181818177E-2</v>
      </c>
    </row>
    <row r="265" spans="1:9" hidden="1" x14ac:dyDescent="0.3">
      <c r="A265">
        <v>28315459</v>
      </c>
      <c r="B265">
        <v>1</v>
      </c>
      <c r="C265">
        <v>6</v>
      </c>
      <c r="D265">
        <v>6</v>
      </c>
      <c r="E265">
        <v>7</v>
      </c>
      <c r="F265">
        <v>9</v>
      </c>
      <c r="G265">
        <v>50</v>
      </c>
      <c r="H265">
        <v>79</v>
      </c>
      <c r="I265" s="2">
        <v>7.5949367088607597E-2</v>
      </c>
    </row>
    <row r="266" spans="1:9" hidden="1" x14ac:dyDescent="0.3">
      <c r="A266">
        <v>28334031</v>
      </c>
      <c r="B266">
        <v>1</v>
      </c>
      <c r="C266">
        <v>7</v>
      </c>
      <c r="D266">
        <v>11</v>
      </c>
      <c r="E266">
        <v>29</v>
      </c>
      <c r="F266">
        <v>28</v>
      </c>
      <c r="G266">
        <v>49</v>
      </c>
      <c r="H266">
        <v>125</v>
      </c>
      <c r="I266" s="2">
        <v>5.6000000000000001E-2</v>
      </c>
    </row>
    <row r="267" spans="1:9" hidden="1" x14ac:dyDescent="0.3">
      <c r="A267">
        <v>28630415</v>
      </c>
      <c r="B267">
        <v>1</v>
      </c>
      <c r="C267">
        <v>9</v>
      </c>
      <c r="D267">
        <v>1</v>
      </c>
      <c r="E267">
        <v>2</v>
      </c>
      <c r="F267">
        <v>7</v>
      </c>
      <c r="G267">
        <v>48</v>
      </c>
      <c r="H267">
        <v>68</v>
      </c>
      <c r="I267" s="2">
        <v>0.13235294117647059</v>
      </c>
    </row>
    <row r="268" spans="1:9" hidden="1" x14ac:dyDescent="0.3">
      <c r="A268">
        <v>28696432</v>
      </c>
      <c r="B268">
        <v>1</v>
      </c>
      <c r="C268">
        <v>12</v>
      </c>
      <c r="D268">
        <v>7</v>
      </c>
      <c r="E268">
        <v>34</v>
      </c>
      <c r="F268">
        <v>86</v>
      </c>
      <c r="G268">
        <v>98</v>
      </c>
      <c r="H268">
        <v>238</v>
      </c>
      <c r="I268" s="2">
        <v>5.0420168067226892E-2</v>
      </c>
    </row>
    <row r="269" spans="1:9" hidden="1" x14ac:dyDescent="0.3">
      <c r="A269">
        <v>28788250</v>
      </c>
      <c r="B269">
        <v>1</v>
      </c>
      <c r="C269">
        <v>6</v>
      </c>
      <c r="D269">
        <v>2</v>
      </c>
      <c r="E269">
        <v>22</v>
      </c>
      <c r="F269">
        <v>134</v>
      </c>
      <c r="G269">
        <v>172</v>
      </c>
      <c r="H269">
        <v>337</v>
      </c>
      <c r="I269" s="2">
        <v>1.7804154302670624E-2</v>
      </c>
    </row>
    <row r="270" spans="1:9" hidden="1" x14ac:dyDescent="0.3">
      <c r="A270">
        <v>28790963</v>
      </c>
      <c r="B270">
        <v>1</v>
      </c>
      <c r="C270">
        <v>7</v>
      </c>
      <c r="D270">
        <v>2</v>
      </c>
      <c r="E270">
        <v>2</v>
      </c>
      <c r="F270">
        <v>3</v>
      </c>
      <c r="G270">
        <v>28</v>
      </c>
      <c r="H270">
        <v>43</v>
      </c>
      <c r="I270" s="2">
        <v>0.16279069767441862</v>
      </c>
    </row>
    <row r="271" spans="1:9" hidden="1" x14ac:dyDescent="0.3">
      <c r="A271">
        <v>28821658</v>
      </c>
      <c r="B271">
        <v>1</v>
      </c>
      <c r="C271">
        <v>9</v>
      </c>
      <c r="D271">
        <v>7</v>
      </c>
      <c r="E271">
        <v>25</v>
      </c>
      <c r="F271">
        <v>56</v>
      </c>
      <c r="G271">
        <v>104</v>
      </c>
      <c r="H271">
        <v>202</v>
      </c>
      <c r="I271" s="2">
        <v>4.4554455445544552E-2</v>
      </c>
    </row>
    <row r="272" spans="1:9" hidden="1" x14ac:dyDescent="0.3">
      <c r="A272">
        <v>28848470</v>
      </c>
      <c r="B272">
        <v>1</v>
      </c>
      <c r="C272">
        <v>8</v>
      </c>
      <c r="D272">
        <v>11</v>
      </c>
      <c r="E272">
        <v>9</v>
      </c>
      <c r="F272">
        <v>28</v>
      </c>
      <c r="G272">
        <v>52</v>
      </c>
      <c r="H272">
        <v>109</v>
      </c>
      <c r="I272" s="2">
        <v>7.3394495412844041E-2</v>
      </c>
    </row>
    <row r="273" spans="1:9" hidden="1" x14ac:dyDescent="0.3">
      <c r="A273">
        <v>29001275</v>
      </c>
      <c r="B273">
        <v>1</v>
      </c>
      <c r="C273">
        <v>8</v>
      </c>
      <c r="D273">
        <v>0</v>
      </c>
      <c r="E273">
        <v>3</v>
      </c>
      <c r="F273">
        <v>10</v>
      </c>
      <c r="G273">
        <v>73</v>
      </c>
      <c r="H273">
        <v>95</v>
      </c>
      <c r="I273" s="2">
        <v>8.4210526315789472E-2</v>
      </c>
    </row>
    <row r="274" spans="1:9" hidden="1" x14ac:dyDescent="0.3">
      <c r="A274">
        <v>29011378</v>
      </c>
      <c r="B274">
        <v>1</v>
      </c>
      <c r="C274">
        <v>36</v>
      </c>
      <c r="D274">
        <v>7</v>
      </c>
      <c r="E274">
        <v>10</v>
      </c>
      <c r="F274">
        <v>21</v>
      </c>
      <c r="G274">
        <v>22</v>
      </c>
      <c r="H274">
        <v>97</v>
      </c>
      <c r="I274" s="2">
        <v>0.37113402061855671</v>
      </c>
    </row>
    <row r="275" spans="1:9" hidden="1" x14ac:dyDescent="0.3">
      <c r="A275">
        <v>29101359</v>
      </c>
      <c r="B275">
        <v>1</v>
      </c>
      <c r="C275">
        <v>16</v>
      </c>
      <c r="D275">
        <v>36</v>
      </c>
      <c r="E275">
        <v>102</v>
      </c>
      <c r="F275">
        <v>166</v>
      </c>
      <c r="G275">
        <v>186</v>
      </c>
      <c r="H275">
        <v>507</v>
      </c>
      <c r="I275" s="2">
        <v>3.1558185404339252E-2</v>
      </c>
    </row>
    <row r="276" spans="1:9" hidden="1" x14ac:dyDescent="0.3">
      <c r="A276">
        <v>29169464</v>
      </c>
      <c r="B276">
        <v>1</v>
      </c>
      <c r="C276">
        <v>6</v>
      </c>
      <c r="D276">
        <v>3</v>
      </c>
      <c r="E276">
        <v>6</v>
      </c>
      <c r="F276">
        <v>6</v>
      </c>
      <c r="G276">
        <v>39</v>
      </c>
      <c r="H276">
        <v>61</v>
      </c>
      <c r="I276" s="2">
        <v>9.8360655737704916E-2</v>
      </c>
    </row>
    <row r="277" spans="1:9" hidden="1" x14ac:dyDescent="0.3">
      <c r="A277">
        <v>29487831</v>
      </c>
      <c r="B277">
        <v>1</v>
      </c>
      <c r="C277">
        <v>13</v>
      </c>
      <c r="D277">
        <v>2</v>
      </c>
      <c r="E277">
        <v>1</v>
      </c>
      <c r="F277">
        <v>2</v>
      </c>
      <c r="G277">
        <v>31</v>
      </c>
      <c r="H277">
        <v>50</v>
      </c>
      <c r="I277" s="2">
        <v>0.26</v>
      </c>
    </row>
    <row r="278" spans="1:9" hidden="1" x14ac:dyDescent="0.3">
      <c r="A278">
        <v>29542811</v>
      </c>
      <c r="B278">
        <v>1</v>
      </c>
      <c r="C278">
        <v>12</v>
      </c>
      <c r="D278">
        <v>6</v>
      </c>
      <c r="E278">
        <v>16</v>
      </c>
      <c r="F278">
        <v>28</v>
      </c>
      <c r="G278">
        <v>40</v>
      </c>
      <c r="H278">
        <v>103</v>
      </c>
      <c r="I278" s="2">
        <v>0.11650485436893204</v>
      </c>
    </row>
    <row r="279" spans="1:9" hidden="1" x14ac:dyDescent="0.3">
      <c r="A279">
        <v>29563716</v>
      </c>
      <c r="B279">
        <v>1</v>
      </c>
      <c r="C279">
        <v>7</v>
      </c>
      <c r="D279">
        <v>6</v>
      </c>
      <c r="E279">
        <v>57</v>
      </c>
      <c r="F279">
        <v>112</v>
      </c>
      <c r="G279">
        <v>100</v>
      </c>
      <c r="H279">
        <v>283</v>
      </c>
      <c r="I279" s="2">
        <v>2.4734982332155476E-2</v>
      </c>
    </row>
    <row r="280" spans="1:9" hidden="1" x14ac:dyDescent="0.3">
      <c r="A280">
        <v>29822222</v>
      </c>
      <c r="B280">
        <v>1</v>
      </c>
      <c r="C280">
        <v>13</v>
      </c>
      <c r="D280">
        <v>9</v>
      </c>
      <c r="E280">
        <v>7</v>
      </c>
      <c r="F280">
        <v>15</v>
      </c>
      <c r="G280">
        <v>38</v>
      </c>
      <c r="H280">
        <v>83</v>
      </c>
      <c r="I280" s="2">
        <v>0.15662650602409639</v>
      </c>
    </row>
    <row r="281" spans="1:9" hidden="1" x14ac:dyDescent="0.3">
      <c r="A281">
        <v>30015950</v>
      </c>
      <c r="B281">
        <v>1</v>
      </c>
      <c r="C281">
        <v>6</v>
      </c>
      <c r="D281">
        <v>8</v>
      </c>
      <c r="E281">
        <v>14</v>
      </c>
      <c r="F281">
        <v>19</v>
      </c>
      <c r="G281">
        <v>59</v>
      </c>
      <c r="H281">
        <v>107</v>
      </c>
      <c r="I281" s="2">
        <v>5.6074766355140186E-2</v>
      </c>
    </row>
    <row r="282" spans="1:9" hidden="1" x14ac:dyDescent="0.3">
      <c r="A282">
        <v>30062091</v>
      </c>
      <c r="B282">
        <v>1</v>
      </c>
      <c r="C282">
        <v>24</v>
      </c>
      <c r="D282">
        <v>0</v>
      </c>
      <c r="E282">
        <v>1</v>
      </c>
      <c r="F282">
        <v>2</v>
      </c>
      <c r="G282">
        <v>20</v>
      </c>
      <c r="H282">
        <v>48</v>
      </c>
      <c r="I282" s="2">
        <v>0.5</v>
      </c>
    </row>
    <row r="283" spans="1:9" hidden="1" x14ac:dyDescent="0.3">
      <c r="A283">
        <v>30198937</v>
      </c>
      <c r="B283">
        <v>1</v>
      </c>
      <c r="C283">
        <v>7</v>
      </c>
      <c r="D283">
        <v>2</v>
      </c>
      <c r="E283">
        <v>1</v>
      </c>
      <c r="F283">
        <v>18</v>
      </c>
      <c r="G283">
        <v>52</v>
      </c>
      <c r="H283">
        <v>81</v>
      </c>
      <c r="I283" s="2">
        <v>8.6419753086419748E-2</v>
      </c>
    </row>
    <row r="284" spans="1:9" hidden="1" x14ac:dyDescent="0.3">
      <c r="A284">
        <v>30238996</v>
      </c>
      <c r="B284">
        <v>1</v>
      </c>
      <c r="C284">
        <v>9</v>
      </c>
      <c r="D284">
        <v>4</v>
      </c>
      <c r="E284">
        <v>20</v>
      </c>
      <c r="F284">
        <v>39</v>
      </c>
      <c r="G284">
        <v>82</v>
      </c>
      <c r="H284">
        <v>155</v>
      </c>
      <c r="I284" s="2">
        <v>5.8064516129032261E-2</v>
      </c>
    </row>
    <row r="285" spans="1:9" hidden="1" x14ac:dyDescent="0.3">
      <c r="A285">
        <v>30432932</v>
      </c>
      <c r="B285">
        <v>1</v>
      </c>
      <c r="C285">
        <v>6</v>
      </c>
      <c r="D285">
        <v>2</v>
      </c>
      <c r="E285">
        <v>0</v>
      </c>
      <c r="F285">
        <v>2</v>
      </c>
      <c r="G285">
        <v>20</v>
      </c>
      <c r="H285">
        <v>31</v>
      </c>
      <c r="I285" s="2">
        <v>0.19354838709677419</v>
      </c>
    </row>
    <row r="286" spans="1:9" hidden="1" x14ac:dyDescent="0.3">
      <c r="A286">
        <v>30523850</v>
      </c>
      <c r="B286">
        <v>1</v>
      </c>
      <c r="C286">
        <v>6</v>
      </c>
      <c r="D286">
        <v>2</v>
      </c>
      <c r="E286">
        <v>16</v>
      </c>
      <c r="F286">
        <v>16</v>
      </c>
      <c r="G286">
        <v>58</v>
      </c>
      <c r="H286">
        <v>99</v>
      </c>
      <c r="I286" s="2">
        <v>6.0606060606060608E-2</v>
      </c>
    </row>
    <row r="287" spans="1:9" hidden="1" x14ac:dyDescent="0.3">
      <c r="A287">
        <v>30807514</v>
      </c>
      <c r="B287">
        <v>1</v>
      </c>
      <c r="C287">
        <v>7</v>
      </c>
      <c r="D287">
        <v>1</v>
      </c>
      <c r="E287">
        <v>7</v>
      </c>
      <c r="F287">
        <v>11</v>
      </c>
      <c r="G287">
        <v>69</v>
      </c>
      <c r="H287">
        <v>96</v>
      </c>
      <c r="I287" s="2">
        <v>7.2916666666666671E-2</v>
      </c>
    </row>
    <row r="288" spans="1:9" hidden="1" x14ac:dyDescent="0.3">
      <c r="A288">
        <v>30821279</v>
      </c>
      <c r="B288">
        <v>1</v>
      </c>
      <c r="C288">
        <v>8</v>
      </c>
      <c r="D288">
        <v>1</v>
      </c>
      <c r="E288">
        <v>1</v>
      </c>
      <c r="F288">
        <v>0</v>
      </c>
      <c r="G288">
        <v>7</v>
      </c>
      <c r="H288">
        <v>18</v>
      </c>
      <c r="I288" s="2">
        <v>0.44444444444444442</v>
      </c>
    </row>
    <row r="289" spans="1:9" hidden="1" x14ac:dyDescent="0.3">
      <c r="A289">
        <v>31004074</v>
      </c>
      <c r="B289">
        <v>1</v>
      </c>
      <c r="C289">
        <v>7</v>
      </c>
      <c r="D289">
        <v>2</v>
      </c>
      <c r="E289">
        <v>1</v>
      </c>
      <c r="F289">
        <v>7</v>
      </c>
      <c r="G289">
        <v>19</v>
      </c>
      <c r="H289">
        <v>37</v>
      </c>
      <c r="I289" s="2">
        <v>0.1891891891891892</v>
      </c>
    </row>
    <row r="290" spans="1:9" hidden="1" x14ac:dyDescent="0.3">
      <c r="A290">
        <v>31028460</v>
      </c>
      <c r="B290">
        <v>1</v>
      </c>
      <c r="C290">
        <v>6</v>
      </c>
      <c r="D290">
        <v>2</v>
      </c>
      <c r="E290">
        <v>16</v>
      </c>
      <c r="F290">
        <v>3</v>
      </c>
      <c r="G290">
        <v>34</v>
      </c>
      <c r="H290">
        <v>62</v>
      </c>
      <c r="I290" s="2">
        <v>9.6774193548387094E-2</v>
      </c>
    </row>
    <row r="291" spans="1:9" hidden="1" x14ac:dyDescent="0.3">
      <c r="A291">
        <v>31047615</v>
      </c>
      <c r="B291">
        <v>1</v>
      </c>
      <c r="C291">
        <v>10</v>
      </c>
      <c r="D291">
        <v>4</v>
      </c>
      <c r="E291">
        <v>44</v>
      </c>
      <c r="F291">
        <v>145</v>
      </c>
      <c r="G291">
        <v>155</v>
      </c>
      <c r="H291">
        <v>359</v>
      </c>
      <c r="I291" s="2">
        <v>2.7855153203342618E-2</v>
      </c>
    </row>
    <row r="292" spans="1:9" hidden="1" x14ac:dyDescent="0.3">
      <c r="A292">
        <v>31085972</v>
      </c>
      <c r="B292">
        <v>1</v>
      </c>
      <c r="C292">
        <v>6</v>
      </c>
      <c r="D292">
        <v>4</v>
      </c>
      <c r="E292">
        <v>17</v>
      </c>
      <c r="F292">
        <v>33</v>
      </c>
      <c r="G292">
        <v>73</v>
      </c>
      <c r="H292">
        <v>134</v>
      </c>
      <c r="I292" s="2">
        <v>4.4776119402985072E-2</v>
      </c>
    </row>
    <row r="293" spans="1:9" hidden="1" x14ac:dyDescent="0.3">
      <c r="A293">
        <v>31088291</v>
      </c>
      <c r="B293">
        <v>1</v>
      </c>
      <c r="C293">
        <v>7</v>
      </c>
      <c r="D293">
        <v>6</v>
      </c>
      <c r="E293">
        <v>7</v>
      </c>
      <c r="F293">
        <v>11</v>
      </c>
      <c r="G293">
        <v>48</v>
      </c>
      <c r="H293">
        <v>80</v>
      </c>
      <c r="I293" s="2">
        <v>8.7499999999999994E-2</v>
      </c>
    </row>
    <row r="294" spans="1:9" hidden="1" x14ac:dyDescent="0.3">
      <c r="A294">
        <v>31103037</v>
      </c>
      <c r="B294">
        <v>1</v>
      </c>
      <c r="C294">
        <v>6</v>
      </c>
      <c r="D294">
        <v>7</v>
      </c>
      <c r="E294">
        <v>32</v>
      </c>
      <c r="F294">
        <v>96</v>
      </c>
      <c r="G294">
        <v>112</v>
      </c>
      <c r="H294">
        <v>254</v>
      </c>
      <c r="I294" s="2">
        <v>2.3622047244094488E-2</v>
      </c>
    </row>
    <row r="295" spans="1:9" hidden="1" x14ac:dyDescent="0.3">
      <c r="A295">
        <v>31144063</v>
      </c>
      <c r="B295">
        <v>1</v>
      </c>
      <c r="C295">
        <v>8</v>
      </c>
      <c r="D295">
        <v>6</v>
      </c>
      <c r="E295">
        <v>8</v>
      </c>
      <c r="F295">
        <v>8</v>
      </c>
      <c r="G295">
        <v>18</v>
      </c>
      <c r="H295">
        <v>49</v>
      </c>
      <c r="I295" s="2">
        <v>0.16326530612244897</v>
      </c>
    </row>
    <row r="296" spans="1:9" hidden="1" x14ac:dyDescent="0.3">
      <c r="A296">
        <v>31201570</v>
      </c>
      <c r="B296">
        <v>1</v>
      </c>
      <c r="C296">
        <v>6</v>
      </c>
      <c r="D296">
        <v>8</v>
      </c>
      <c r="E296">
        <v>7</v>
      </c>
      <c r="F296">
        <v>3</v>
      </c>
      <c r="G296">
        <v>15</v>
      </c>
      <c r="H296">
        <v>40</v>
      </c>
      <c r="I296" s="2">
        <v>0.15</v>
      </c>
    </row>
    <row r="297" spans="1:9" hidden="1" x14ac:dyDescent="0.3">
      <c r="A297">
        <v>31283166</v>
      </c>
      <c r="B297">
        <v>1</v>
      </c>
      <c r="C297">
        <v>6</v>
      </c>
      <c r="D297">
        <v>7</v>
      </c>
      <c r="E297">
        <v>7</v>
      </c>
      <c r="F297">
        <v>28</v>
      </c>
      <c r="G297">
        <v>51</v>
      </c>
      <c r="H297">
        <v>100</v>
      </c>
      <c r="I297" s="2">
        <v>0.06</v>
      </c>
    </row>
    <row r="298" spans="1:9" hidden="1" x14ac:dyDescent="0.3">
      <c r="A298">
        <v>31487344</v>
      </c>
      <c r="B298">
        <v>1</v>
      </c>
      <c r="C298">
        <v>8</v>
      </c>
      <c r="D298">
        <v>9</v>
      </c>
      <c r="E298">
        <v>58</v>
      </c>
      <c r="F298">
        <v>115</v>
      </c>
      <c r="G298">
        <v>87</v>
      </c>
      <c r="H298">
        <v>278</v>
      </c>
      <c r="I298" s="2">
        <v>2.8776978417266189E-2</v>
      </c>
    </row>
    <row r="299" spans="1:9" hidden="1" x14ac:dyDescent="0.3">
      <c r="A299">
        <v>31607923</v>
      </c>
      <c r="B299">
        <v>1</v>
      </c>
      <c r="C299">
        <v>14</v>
      </c>
      <c r="D299">
        <v>5</v>
      </c>
      <c r="E299">
        <v>24</v>
      </c>
      <c r="F299">
        <v>41</v>
      </c>
      <c r="G299">
        <v>67</v>
      </c>
      <c r="H299">
        <v>152</v>
      </c>
      <c r="I299" s="2">
        <v>9.2105263157894732E-2</v>
      </c>
    </row>
    <row r="300" spans="1:9" hidden="1" x14ac:dyDescent="0.3">
      <c r="A300">
        <v>31629850</v>
      </c>
      <c r="B300">
        <v>1</v>
      </c>
      <c r="C300">
        <v>6</v>
      </c>
      <c r="D300">
        <v>30</v>
      </c>
      <c r="E300">
        <v>41</v>
      </c>
      <c r="F300">
        <v>140</v>
      </c>
      <c r="G300">
        <v>120</v>
      </c>
      <c r="H300">
        <v>338</v>
      </c>
      <c r="I300" s="2">
        <v>1.7751479289940829E-2</v>
      </c>
    </row>
    <row r="301" spans="1:9" hidden="1" x14ac:dyDescent="0.3">
      <c r="A301">
        <v>31662582</v>
      </c>
      <c r="B301">
        <v>1</v>
      </c>
      <c r="C301">
        <v>6</v>
      </c>
      <c r="D301">
        <v>6</v>
      </c>
      <c r="E301">
        <v>32</v>
      </c>
      <c r="F301">
        <v>55</v>
      </c>
      <c r="G301">
        <v>60</v>
      </c>
      <c r="H301">
        <v>160</v>
      </c>
      <c r="I301" s="2">
        <v>3.7499999999999999E-2</v>
      </c>
    </row>
    <row r="302" spans="1:9" hidden="1" x14ac:dyDescent="0.3">
      <c r="A302">
        <v>31956024</v>
      </c>
      <c r="B302">
        <v>1</v>
      </c>
      <c r="C302">
        <v>10</v>
      </c>
      <c r="D302">
        <v>34</v>
      </c>
      <c r="E302">
        <v>252</v>
      </c>
      <c r="F302">
        <v>182</v>
      </c>
      <c r="G302">
        <v>85</v>
      </c>
      <c r="H302">
        <v>564</v>
      </c>
      <c r="I302" s="2">
        <v>1.7730496453900711E-2</v>
      </c>
    </row>
    <row r="303" spans="1:9" hidden="1" x14ac:dyDescent="0.3">
      <c r="A303">
        <v>32016726</v>
      </c>
      <c r="B303">
        <v>1</v>
      </c>
      <c r="C303">
        <v>14</v>
      </c>
      <c r="D303">
        <v>34</v>
      </c>
      <c r="E303">
        <v>97</v>
      </c>
      <c r="F303">
        <v>48</v>
      </c>
      <c r="G303">
        <v>60</v>
      </c>
      <c r="H303">
        <v>254</v>
      </c>
      <c r="I303" s="2">
        <v>5.5118110236220472E-2</v>
      </c>
    </row>
    <row r="304" spans="1:9" hidden="1" x14ac:dyDescent="0.3">
      <c r="A304">
        <v>32109625</v>
      </c>
      <c r="B304">
        <v>1</v>
      </c>
      <c r="C304">
        <v>10</v>
      </c>
      <c r="D304">
        <v>5</v>
      </c>
      <c r="E304">
        <v>29</v>
      </c>
      <c r="F304">
        <v>63</v>
      </c>
      <c r="G304">
        <v>132</v>
      </c>
      <c r="H304">
        <v>240</v>
      </c>
      <c r="I304" s="2">
        <v>4.1666666666666664E-2</v>
      </c>
    </row>
    <row r="305" spans="1:9" hidden="1" x14ac:dyDescent="0.3">
      <c r="A305">
        <v>32412818</v>
      </c>
      <c r="B305">
        <v>1</v>
      </c>
      <c r="C305">
        <v>6</v>
      </c>
      <c r="D305">
        <v>8</v>
      </c>
      <c r="E305">
        <v>23</v>
      </c>
      <c r="F305">
        <v>105</v>
      </c>
      <c r="G305">
        <v>118</v>
      </c>
      <c r="H305">
        <v>261</v>
      </c>
      <c r="I305" s="2">
        <v>2.2988505747126436E-2</v>
      </c>
    </row>
    <row r="306" spans="1:9" hidden="1" x14ac:dyDescent="0.3">
      <c r="A306">
        <v>32427661</v>
      </c>
      <c r="B306">
        <v>1</v>
      </c>
      <c r="C306">
        <v>9</v>
      </c>
      <c r="D306">
        <v>8</v>
      </c>
      <c r="E306">
        <v>31</v>
      </c>
      <c r="F306">
        <v>37</v>
      </c>
      <c r="G306">
        <v>75</v>
      </c>
      <c r="H306">
        <v>161</v>
      </c>
      <c r="I306" s="2">
        <v>5.5900621118012424E-2</v>
      </c>
    </row>
    <row r="307" spans="1:9" hidden="1" x14ac:dyDescent="0.3">
      <c r="A307">
        <v>32518813</v>
      </c>
      <c r="B307">
        <v>1</v>
      </c>
      <c r="C307">
        <v>6</v>
      </c>
      <c r="D307">
        <v>4</v>
      </c>
      <c r="E307">
        <v>5</v>
      </c>
      <c r="F307">
        <v>35</v>
      </c>
      <c r="G307">
        <v>104</v>
      </c>
      <c r="H307">
        <v>155</v>
      </c>
      <c r="I307" s="2">
        <v>3.870967741935484E-2</v>
      </c>
    </row>
    <row r="308" spans="1:9" hidden="1" x14ac:dyDescent="0.3">
      <c r="A308">
        <v>32766664</v>
      </c>
      <c r="B308">
        <v>1</v>
      </c>
      <c r="C308">
        <v>6</v>
      </c>
      <c r="D308">
        <v>4</v>
      </c>
      <c r="E308">
        <v>9</v>
      </c>
      <c r="F308">
        <v>20</v>
      </c>
      <c r="G308">
        <v>58</v>
      </c>
      <c r="H308">
        <v>98</v>
      </c>
      <c r="I308" s="2">
        <v>6.1224489795918366E-2</v>
      </c>
    </row>
    <row r="309" spans="1:9" hidden="1" x14ac:dyDescent="0.3">
      <c r="A309">
        <v>32778134</v>
      </c>
      <c r="B309">
        <v>1</v>
      </c>
      <c r="C309">
        <v>17</v>
      </c>
      <c r="D309">
        <v>2</v>
      </c>
      <c r="E309">
        <v>20</v>
      </c>
      <c r="F309">
        <v>34</v>
      </c>
      <c r="G309">
        <v>89</v>
      </c>
      <c r="H309">
        <v>163</v>
      </c>
      <c r="I309" s="2">
        <v>0.10429447852760736</v>
      </c>
    </row>
    <row r="310" spans="1:9" hidden="1" x14ac:dyDescent="0.3">
      <c r="A310">
        <v>32797875</v>
      </c>
      <c r="B310">
        <v>1</v>
      </c>
      <c r="C310">
        <v>10</v>
      </c>
      <c r="D310">
        <v>10</v>
      </c>
      <c r="E310">
        <v>24</v>
      </c>
      <c r="F310">
        <v>45</v>
      </c>
      <c r="G310">
        <v>44</v>
      </c>
      <c r="H310">
        <v>134</v>
      </c>
      <c r="I310" s="2">
        <v>7.4626865671641784E-2</v>
      </c>
    </row>
    <row r="311" spans="1:9" hidden="1" x14ac:dyDescent="0.3">
      <c r="A311">
        <v>32918956</v>
      </c>
      <c r="B311">
        <v>1</v>
      </c>
      <c r="C311">
        <v>19</v>
      </c>
      <c r="D311">
        <v>0</v>
      </c>
      <c r="E311">
        <v>1</v>
      </c>
      <c r="F311">
        <v>3</v>
      </c>
      <c r="G311">
        <v>44</v>
      </c>
      <c r="H311">
        <v>68</v>
      </c>
      <c r="I311" s="2">
        <v>0.27941176470588236</v>
      </c>
    </row>
    <row r="312" spans="1:9" hidden="1" x14ac:dyDescent="0.3">
      <c r="A312">
        <v>32955884</v>
      </c>
      <c r="B312">
        <v>1</v>
      </c>
      <c r="C312">
        <v>15</v>
      </c>
      <c r="D312">
        <v>5</v>
      </c>
      <c r="E312">
        <v>6</v>
      </c>
      <c r="F312">
        <v>35</v>
      </c>
      <c r="G312">
        <v>76</v>
      </c>
      <c r="H312">
        <v>138</v>
      </c>
      <c r="I312" s="2">
        <v>0.10869565217391304</v>
      </c>
    </row>
    <row r="313" spans="1:9" hidden="1" x14ac:dyDescent="0.3">
      <c r="A313">
        <v>33020195</v>
      </c>
      <c r="B313">
        <v>1</v>
      </c>
      <c r="C313">
        <v>8</v>
      </c>
      <c r="D313">
        <v>12</v>
      </c>
      <c r="E313">
        <v>108</v>
      </c>
      <c r="F313">
        <v>225</v>
      </c>
      <c r="G313">
        <v>159</v>
      </c>
      <c r="H313">
        <v>513</v>
      </c>
      <c r="I313" s="2">
        <v>1.5594541910331383E-2</v>
      </c>
    </row>
    <row r="314" spans="1:9" hidden="1" x14ac:dyDescent="0.3">
      <c r="A314">
        <v>33020582</v>
      </c>
      <c r="B314">
        <v>1</v>
      </c>
      <c r="C314">
        <v>10</v>
      </c>
      <c r="D314">
        <v>18</v>
      </c>
      <c r="E314">
        <v>57</v>
      </c>
      <c r="F314">
        <v>95</v>
      </c>
      <c r="G314">
        <v>108</v>
      </c>
      <c r="H314">
        <v>289</v>
      </c>
      <c r="I314" s="2">
        <v>3.4602076124567477E-2</v>
      </c>
    </row>
    <row r="315" spans="1:9" hidden="1" x14ac:dyDescent="0.3">
      <c r="A315">
        <v>33084212</v>
      </c>
      <c r="B315">
        <v>1</v>
      </c>
      <c r="C315">
        <v>6</v>
      </c>
      <c r="D315">
        <v>2</v>
      </c>
      <c r="E315">
        <v>4</v>
      </c>
      <c r="F315">
        <v>10</v>
      </c>
      <c r="G315">
        <v>13</v>
      </c>
      <c r="H315">
        <v>36</v>
      </c>
      <c r="I315" s="2">
        <v>0.16666666666666666</v>
      </c>
    </row>
    <row r="316" spans="1:9" hidden="1" x14ac:dyDescent="0.3">
      <c r="A316">
        <v>33225680</v>
      </c>
      <c r="B316">
        <v>1</v>
      </c>
      <c r="C316">
        <v>6</v>
      </c>
      <c r="D316">
        <v>7</v>
      </c>
      <c r="E316">
        <v>28</v>
      </c>
      <c r="F316">
        <v>46</v>
      </c>
      <c r="G316">
        <v>60</v>
      </c>
      <c r="H316">
        <v>148</v>
      </c>
      <c r="I316" s="2">
        <v>4.0540540540540543E-2</v>
      </c>
    </row>
    <row r="317" spans="1:9" hidden="1" x14ac:dyDescent="0.3">
      <c r="A317">
        <v>33282345</v>
      </c>
      <c r="B317">
        <v>1</v>
      </c>
      <c r="C317">
        <v>6</v>
      </c>
      <c r="D317">
        <v>3</v>
      </c>
      <c r="E317">
        <v>13</v>
      </c>
      <c r="F317">
        <v>19</v>
      </c>
      <c r="G317">
        <v>65</v>
      </c>
      <c r="H317">
        <v>107</v>
      </c>
      <c r="I317" s="2">
        <v>5.6074766355140186E-2</v>
      </c>
    </row>
    <row r="318" spans="1:9" hidden="1" x14ac:dyDescent="0.3">
      <c r="A318">
        <v>33413927</v>
      </c>
      <c r="B318">
        <v>1</v>
      </c>
      <c r="C318">
        <v>13</v>
      </c>
      <c r="D318">
        <v>12</v>
      </c>
      <c r="E318">
        <v>87</v>
      </c>
      <c r="F318">
        <v>140</v>
      </c>
      <c r="G318">
        <v>85</v>
      </c>
      <c r="H318">
        <v>338</v>
      </c>
      <c r="I318" s="2">
        <v>3.8461538461538464E-2</v>
      </c>
    </row>
    <row r="319" spans="1:9" hidden="1" x14ac:dyDescent="0.3">
      <c r="A319">
        <v>33516272</v>
      </c>
      <c r="B319">
        <v>1</v>
      </c>
      <c r="C319">
        <v>6</v>
      </c>
      <c r="D319">
        <v>0</v>
      </c>
      <c r="E319">
        <v>5</v>
      </c>
      <c r="F319">
        <v>15</v>
      </c>
      <c r="G319">
        <v>35</v>
      </c>
      <c r="H319">
        <v>62</v>
      </c>
      <c r="I319" s="2">
        <v>9.6774193548387094E-2</v>
      </c>
    </row>
    <row r="320" spans="1:9" hidden="1" x14ac:dyDescent="0.3">
      <c r="A320">
        <v>33547782</v>
      </c>
      <c r="B320">
        <v>1</v>
      </c>
      <c r="C320">
        <v>8</v>
      </c>
      <c r="D320">
        <v>4</v>
      </c>
      <c r="E320">
        <v>5</v>
      </c>
      <c r="F320">
        <v>15</v>
      </c>
      <c r="G320">
        <v>64</v>
      </c>
      <c r="H320">
        <v>97</v>
      </c>
      <c r="I320" s="2">
        <v>8.247422680412371E-2</v>
      </c>
    </row>
    <row r="321" spans="1:9" hidden="1" x14ac:dyDescent="0.3">
      <c r="A321">
        <v>33659103</v>
      </c>
      <c r="B321">
        <v>1</v>
      </c>
      <c r="C321">
        <v>7</v>
      </c>
      <c r="D321">
        <v>16</v>
      </c>
      <c r="E321">
        <v>63</v>
      </c>
      <c r="F321">
        <v>64</v>
      </c>
      <c r="G321">
        <v>83</v>
      </c>
      <c r="H321">
        <v>234</v>
      </c>
      <c r="I321" s="2">
        <v>2.9914529914529916E-2</v>
      </c>
    </row>
    <row r="322" spans="1:9" hidden="1" x14ac:dyDescent="0.3">
      <c r="A322">
        <v>33922145</v>
      </c>
      <c r="B322">
        <v>1</v>
      </c>
      <c r="C322">
        <v>26</v>
      </c>
      <c r="D322">
        <v>10</v>
      </c>
      <c r="E322">
        <v>24</v>
      </c>
      <c r="F322">
        <v>17</v>
      </c>
      <c r="G322">
        <v>58</v>
      </c>
      <c r="H322">
        <v>136</v>
      </c>
      <c r="I322" s="2">
        <v>0.19117647058823528</v>
      </c>
    </row>
    <row r="323" spans="1:9" hidden="1" x14ac:dyDescent="0.3">
      <c r="A323">
        <v>34011778</v>
      </c>
      <c r="B323">
        <v>1</v>
      </c>
      <c r="C323">
        <v>76</v>
      </c>
      <c r="D323">
        <v>149</v>
      </c>
      <c r="E323">
        <v>780</v>
      </c>
      <c r="F323">
        <v>556</v>
      </c>
      <c r="G323">
        <v>108</v>
      </c>
      <c r="H323">
        <v>1670</v>
      </c>
      <c r="I323" s="2">
        <v>4.5508982035928146E-2</v>
      </c>
    </row>
    <row r="324" spans="1:9" hidden="1" x14ac:dyDescent="0.3">
      <c r="A324">
        <v>34021865</v>
      </c>
      <c r="B324">
        <v>1</v>
      </c>
      <c r="C324">
        <v>9</v>
      </c>
      <c r="D324">
        <v>13</v>
      </c>
      <c r="E324">
        <v>55</v>
      </c>
      <c r="F324">
        <v>90</v>
      </c>
      <c r="G324">
        <v>92</v>
      </c>
      <c r="H324">
        <v>260</v>
      </c>
      <c r="I324" s="2">
        <v>3.4615384615384617E-2</v>
      </c>
    </row>
    <row r="325" spans="1:9" hidden="1" x14ac:dyDescent="0.3">
      <c r="A325">
        <v>34250361</v>
      </c>
      <c r="B325">
        <v>1</v>
      </c>
      <c r="C325">
        <v>7</v>
      </c>
      <c r="D325">
        <v>8</v>
      </c>
      <c r="E325">
        <v>18</v>
      </c>
      <c r="F325">
        <v>24</v>
      </c>
      <c r="G325">
        <v>12</v>
      </c>
      <c r="H325">
        <v>70</v>
      </c>
      <c r="I325" s="2">
        <v>0.1</v>
      </c>
    </row>
    <row r="326" spans="1:9" hidden="1" x14ac:dyDescent="0.3">
      <c r="A326">
        <v>34258273</v>
      </c>
      <c r="B326">
        <v>1</v>
      </c>
      <c r="C326">
        <v>12</v>
      </c>
      <c r="D326">
        <v>19</v>
      </c>
      <c r="E326">
        <v>89</v>
      </c>
      <c r="F326">
        <v>71</v>
      </c>
      <c r="G326">
        <v>153</v>
      </c>
      <c r="H326">
        <v>345</v>
      </c>
      <c r="I326" s="2">
        <v>3.4782608695652174E-2</v>
      </c>
    </row>
    <row r="327" spans="1:9" hidden="1" x14ac:dyDescent="0.3">
      <c r="A327">
        <v>34322341</v>
      </c>
      <c r="B327">
        <v>1</v>
      </c>
      <c r="C327">
        <v>6</v>
      </c>
      <c r="D327">
        <v>9</v>
      </c>
      <c r="E327">
        <v>13</v>
      </c>
      <c r="F327">
        <v>41</v>
      </c>
      <c r="G327">
        <v>70</v>
      </c>
      <c r="H327">
        <v>140</v>
      </c>
      <c r="I327" s="2">
        <v>4.2857142857142858E-2</v>
      </c>
    </row>
    <row r="328" spans="1:9" hidden="1" x14ac:dyDescent="0.3">
      <c r="A328">
        <v>34345025</v>
      </c>
      <c r="B328">
        <v>1</v>
      </c>
      <c r="C328">
        <v>6</v>
      </c>
      <c r="D328">
        <v>16</v>
      </c>
      <c r="E328">
        <v>5</v>
      </c>
      <c r="F328">
        <v>29</v>
      </c>
      <c r="G328">
        <v>76</v>
      </c>
      <c r="H328">
        <v>133</v>
      </c>
      <c r="I328" s="2">
        <v>4.5112781954887216E-2</v>
      </c>
    </row>
    <row r="329" spans="1:9" hidden="1" x14ac:dyDescent="0.3">
      <c r="A329">
        <v>34365459</v>
      </c>
      <c r="B329">
        <v>1</v>
      </c>
      <c r="C329">
        <v>6</v>
      </c>
      <c r="D329">
        <v>5</v>
      </c>
      <c r="E329">
        <v>59</v>
      </c>
      <c r="F329">
        <v>169</v>
      </c>
      <c r="G329">
        <v>155</v>
      </c>
      <c r="H329">
        <v>395</v>
      </c>
      <c r="I329" s="2">
        <v>1.5189873417721518E-2</v>
      </c>
    </row>
    <row r="330" spans="1:9" hidden="1" x14ac:dyDescent="0.3">
      <c r="A330">
        <v>34419097</v>
      </c>
      <c r="B330">
        <v>1</v>
      </c>
      <c r="C330">
        <v>6</v>
      </c>
      <c r="D330">
        <v>3</v>
      </c>
      <c r="E330">
        <v>13</v>
      </c>
      <c r="F330">
        <v>25</v>
      </c>
      <c r="G330">
        <v>47</v>
      </c>
      <c r="H330">
        <v>95</v>
      </c>
      <c r="I330" s="2">
        <v>6.3157894736842107E-2</v>
      </c>
    </row>
    <row r="331" spans="1:9" hidden="1" x14ac:dyDescent="0.3">
      <c r="A331">
        <v>34421437</v>
      </c>
      <c r="B331">
        <v>1</v>
      </c>
      <c r="C331">
        <v>76</v>
      </c>
      <c r="D331">
        <v>70</v>
      </c>
      <c r="E331">
        <v>226</v>
      </c>
      <c r="F331">
        <v>195</v>
      </c>
      <c r="G331">
        <v>116</v>
      </c>
      <c r="H331">
        <v>684</v>
      </c>
      <c r="I331" s="2">
        <v>0.1111111111111111</v>
      </c>
    </row>
    <row r="332" spans="1:9" hidden="1" x14ac:dyDescent="0.3">
      <c r="A332">
        <v>34446981</v>
      </c>
      <c r="B332">
        <v>1</v>
      </c>
      <c r="C332">
        <v>12</v>
      </c>
      <c r="D332">
        <v>22</v>
      </c>
      <c r="E332">
        <v>48</v>
      </c>
      <c r="F332">
        <v>79</v>
      </c>
      <c r="G332">
        <v>68</v>
      </c>
      <c r="H332">
        <v>230</v>
      </c>
      <c r="I332" s="2">
        <v>5.2173913043478258E-2</v>
      </c>
    </row>
    <row r="333" spans="1:9" hidden="1" x14ac:dyDescent="0.3">
      <c r="A333">
        <v>34566298</v>
      </c>
      <c r="B333">
        <v>1</v>
      </c>
      <c r="C333">
        <v>8</v>
      </c>
      <c r="D333">
        <v>32</v>
      </c>
      <c r="E333">
        <v>100</v>
      </c>
      <c r="F333">
        <v>230</v>
      </c>
      <c r="G333">
        <v>227</v>
      </c>
      <c r="H333">
        <v>598</v>
      </c>
      <c r="I333" s="2">
        <v>1.3377926421404682E-2</v>
      </c>
    </row>
    <row r="334" spans="1:9" hidden="1" x14ac:dyDescent="0.3">
      <c r="A334">
        <v>34836408</v>
      </c>
      <c r="B334">
        <v>1</v>
      </c>
      <c r="C334">
        <v>25</v>
      </c>
      <c r="D334">
        <v>156</v>
      </c>
      <c r="E334">
        <v>236</v>
      </c>
      <c r="F334">
        <v>326</v>
      </c>
      <c r="G334">
        <v>132</v>
      </c>
      <c r="H334">
        <v>876</v>
      </c>
      <c r="I334" s="2">
        <v>2.8538812785388126E-2</v>
      </c>
    </row>
    <row r="335" spans="1:9" hidden="1" x14ac:dyDescent="0.3">
      <c r="A335">
        <v>35025316</v>
      </c>
      <c r="B335">
        <v>1</v>
      </c>
      <c r="C335">
        <v>7</v>
      </c>
      <c r="D335">
        <v>0</v>
      </c>
      <c r="E335">
        <v>6</v>
      </c>
      <c r="F335">
        <v>1</v>
      </c>
      <c r="G335">
        <v>34</v>
      </c>
      <c r="H335">
        <v>49</v>
      </c>
      <c r="I335" s="2">
        <v>0.14285714285714285</v>
      </c>
    </row>
    <row r="336" spans="1:9" hidden="1" x14ac:dyDescent="0.3">
      <c r="A336">
        <v>35049885</v>
      </c>
      <c r="B336">
        <v>1</v>
      </c>
      <c r="C336">
        <v>9</v>
      </c>
      <c r="D336">
        <v>12</v>
      </c>
      <c r="E336">
        <v>25</v>
      </c>
      <c r="F336">
        <v>73</v>
      </c>
      <c r="G336">
        <v>108</v>
      </c>
      <c r="H336">
        <v>228</v>
      </c>
      <c r="I336" s="2">
        <v>3.9473684210526314E-2</v>
      </c>
    </row>
    <row r="337" spans="1:9" hidden="1" x14ac:dyDescent="0.3">
      <c r="A337">
        <v>35080175</v>
      </c>
      <c r="B337">
        <v>1</v>
      </c>
      <c r="C337">
        <v>6</v>
      </c>
      <c r="D337">
        <v>8</v>
      </c>
      <c r="E337">
        <v>18</v>
      </c>
      <c r="F337">
        <v>49</v>
      </c>
      <c r="G337">
        <v>45</v>
      </c>
      <c r="H337">
        <v>127</v>
      </c>
      <c r="I337" s="2">
        <v>4.7244094488188976E-2</v>
      </c>
    </row>
    <row r="338" spans="1:9" hidden="1" x14ac:dyDescent="0.3">
      <c r="A338">
        <v>35195381</v>
      </c>
      <c r="B338">
        <v>1</v>
      </c>
      <c r="C338">
        <v>6</v>
      </c>
      <c r="D338">
        <v>23</v>
      </c>
      <c r="E338">
        <v>50</v>
      </c>
      <c r="F338">
        <v>29</v>
      </c>
      <c r="G338">
        <v>55</v>
      </c>
      <c r="H338">
        <v>164</v>
      </c>
      <c r="I338" s="2">
        <v>3.6585365853658534E-2</v>
      </c>
    </row>
    <row r="339" spans="1:9" hidden="1" x14ac:dyDescent="0.3">
      <c r="A339">
        <v>35376931</v>
      </c>
      <c r="B339">
        <v>1</v>
      </c>
      <c r="C339">
        <v>6</v>
      </c>
      <c r="D339">
        <v>3</v>
      </c>
      <c r="E339">
        <v>35</v>
      </c>
      <c r="F339">
        <v>36</v>
      </c>
      <c r="G339">
        <v>43</v>
      </c>
      <c r="H339">
        <v>124</v>
      </c>
      <c r="I339" s="2">
        <v>4.8387096774193547E-2</v>
      </c>
    </row>
    <row r="340" spans="1:9" hidden="1" x14ac:dyDescent="0.3">
      <c r="A340">
        <v>35447765</v>
      </c>
      <c r="B340">
        <v>1</v>
      </c>
      <c r="C340">
        <v>21</v>
      </c>
      <c r="D340">
        <v>32</v>
      </c>
      <c r="E340">
        <v>119</v>
      </c>
      <c r="F340">
        <v>277</v>
      </c>
      <c r="G340">
        <v>152</v>
      </c>
      <c r="H340">
        <v>602</v>
      </c>
      <c r="I340" s="2">
        <v>3.4883720930232558E-2</v>
      </c>
    </row>
    <row r="341" spans="1:9" hidden="1" x14ac:dyDescent="0.3">
      <c r="A341">
        <v>35507976</v>
      </c>
      <c r="B341">
        <v>1</v>
      </c>
      <c r="C341">
        <v>11</v>
      </c>
      <c r="D341">
        <v>7</v>
      </c>
      <c r="E341">
        <v>16</v>
      </c>
      <c r="F341">
        <v>46</v>
      </c>
      <c r="G341">
        <v>76</v>
      </c>
      <c r="H341">
        <v>157</v>
      </c>
      <c r="I341" s="2">
        <v>7.0063694267515922E-2</v>
      </c>
    </row>
    <row r="342" spans="1:9" hidden="1" x14ac:dyDescent="0.3">
      <c r="A342">
        <v>35525581</v>
      </c>
      <c r="B342">
        <v>1</v>
      </c>
      <c r="C342">
        <v>11</v>
      </c>
      <c r="D342">
        <v>5</v>
      </c>
      <c r="E342">
        <v>16</v>
      </c>
      <c r="F342">
        <v>51</v>
      </c>
      <c r="G342">
        <v>77</v>
      </c>
      <c r="H342">
        <v>161</v>
      </c>
      <c r="I342" s="2">
        <v>6.8322981366459631E-2</v>
      </c>
    </row>
    <row r="343" spans="1:9" hidden="1" x14ac:dyDescent="0.3">
      <c r="A343">
        <v>35574205</v>
      </c>
      <c r="B343">
        <v>1</v>
      </c>
      <c r="C343">
        <v>9</v>
      </c>
      <c r="D343">
        <v>9</v>
      </c>
      <c r="E343">
        <v>38</v>
      </c>
      <c r="F343">
        <v>89</v>
      </c>
      <c r="G343">
        <v>120</v>
      </c>
      <c r="H343">
        <v>266</v>
      </c>
      <c r="I343" s="2">
        <v>3.3834586466165412E-2</v>
      </c>
    </row>
    <row r="344" spans="1:9" hidden="1" x14ac:dyDescent="0.3">
      <c r="A344">
        <v>35626619</v>
      </c>
      <c r="B344">
        <v>1</v>
      </c>
      <c r="C344">
        <v>6</v>
      </c>
      <c r="D344">
        <v>1</v>
      </c>
      <c r="E344">
        <v>0</v>
      </c>
      <c r="F344">
        <v>9</v>
      </c>
      <c r="G344">
        <v>47</v>
      </c>
      <c r="H344">
        <v>64</v>
      </c>
      <c r="I344" s="2">
        <v>9.375E-2</v>
      </c>
    </row>
    <row r="345" spans="1:9" hidden="1" x14ac:dyDescent="0.3">
      <c r="A345">
        <v>35699177</v>
      </c>
      <c r="B345">
        <v>1</v>
      </c>
      <c r="C345">
        <v>7</v>
      </c>
      <c r="D345">
        <v>12</v>
      </c>
      <c r="E345">
        <v>34</v>
      </c>
      <c r="F345">
        <v>64</v>
      </c>
      <c r="G345">
        <v>97</v>
      </c>
      <c r="H345">
        <v>215</v>
      </c>
      <c r="I345" s="2">
        <v>3.255813953488372E-2</v>
      </c>
    </row>
    <row r="346" spans="1:9" hidden="1" x14ac:dyDescent="0.3">
      <c r="A346">
        <v>35809637</v>
      </c>
      <c r="B346">
        <v>1</v>
      </c>
      <c r="C346">
        <v>27</v>
      </c>
      <c r="D346">
        <v>8</v>
      </c>
      <c r="E346">
        <v>8</v>
      </c>
      <c r="F346">
        <v>16</v>
      </c>
      <c r="G346">
        <v>88</v>
      </c>
      <c r="H346">
        <v>148</v>
      </c>
      <c r="I346" s="2">
        <v>0.18243243243243243</v>
      </c>
    </row>
    <row r="347" spans="1:9" hidden="1" x14ac:dyDescent="0.3">
      <c r="A347">
        <v>35815135</v>
      </c>
      <c r="B347">
        <v>1</v>
      </c>
      <c r="C347">
        <v>8</v>
      </c>
      <c r="D347">
        <v>4</v>
      </c>
      <c r="E347">
        <v>27</v>
      </c>
      <c r="F347">
        <v>188</v>
      </c>
      <c r="G347">
        <v>79</v>
      </c>
      <c r="H347">
        <v>307</v>
      </c>
      <c r="I347" s="2">
        <v>2.6058631921824105E-2</v>
      </c>
    </row>
    <row r="348" spans="1:9" hidden="1" x14ac:dyDescent="0.3">
      <c r="A348">
        <v>35826990</v>
      </c>
      <c r="B348">
        <v>1</v>
      </c>
      <c r="C348">
        <v>11</v>
      </c>
      <c r="D348">
        <v>0</v>
      </c>
      <c r="E348">
        <v>6</v>
      </c>
      <c r="F348">
        <v>16</v>
      </c>
      <c r="G348">
        <v>43</v>
      </c>
      <c r="H348">
        <v>77</v>
      </c>
      <c r="I348" s="2">
        <v>0.14285714285714285</v>
      </c>
    </row>
    <row r="349" spans="1:9" hidden="1" x14ac:dyDescent="0.3">
      <c r="A349">
        <v>35921064</v>
      </c>
      <c r="B349">
        <v>1</v>
      </c>
      <c r="C349">
        <v>7</v>
      </c>
      <c r="D349">
        <v>7</v>
      </c>
      <c r="E349">
        <v>35</v>
      </c>
      <c r="F349">
        <v>71</v>
      </c>
      <c r="G349">
        <v>80</v>
      </c>
      <c r="H349">
        <v>201</v>
      </c>
      <c r="I349" s="2">
        <v>3.482587064676617E-2</v>
      </c>
    </row>
    <row r="350" spans="1:9" hidden="1" x14ac:dyDescent="0.3">
      <c r="A350">
        <v>36229502</v>
      </c>
      <c r="B350">
        <v>1</v>
      </c>
      <c r="C350">
        <v>27</v>
      </c>
      <c r="D350">
        <v>10</v>
      </c>
      <c r="E350">
        <v>9</v>
      </c>
      <c r="F350">
        <v>6</v>
      </c>
      <c r="G350">
        <v>14</v>
      </c>
      <c r="H350">
        <v>67</v>
      </c>
      <c r="I350" s="2">
        <v>0.40298507462686567</v>
      </c>
    </row>
    <row r="351" spans="1:9" hidden="1" x14ac:dyDescent="0.3">
      <c r="A351">
        <v>36304442</v>
      </c>
      <c r="B351">
        <v>1</v>
      </c>
      <c r="C351">
        <v>6</v>
      </c>
      <c r="D351">
        <v>11</v>
      </c>
      <c r="E351">
        <v>37</v>
      </c>
      <c r="F351">
        <v>155</v>
      </c>
      <c r="G351">
        <v>170</v>
      </c>
      <c r="H351">
        <v>380</v>
      </c>
      <c r="I351" s="2">
        <v>1.5789473684210527E-2</v>
      </c>
    </row>
    <row r="352" spans="1:9" hidden="1" x14ac:dyDescent="0.3">
      <c r="A352">
        <v>36359831</v>
      </c>
      <c r="B352">
        <v>1</v>
      </c>
      <c r="C352">
        <v>8</v>
      </c>
      <c r="D352">
        <v>1</v>
      </c>
      <c r="E352">
        <v>1</v>
      </c>
      <c r="F352">
        <v>9</v>
      </c>
      <c r="G352">
        <v>46</v>
      </c>
      <c r="H352">
        <v>66</v>
      </c>
      <c r="I352" s="2">
        <v>0.12121212121212122</v>
      </c>
    </row>
    <row r="353" spans="1:9" hidden="1" x14ac:dyDescent="0.3">
      <c r="A353">
        <v>36422404</v>
      </c>
      <c r="B353">
        <v>1</v>
      </c>
      <c r="C353">
        <v>9</v>
      </c>
      <c r="D353">
        <v>6</v>
      </c>
      <c r="E353">
        <v>7</v>
      </c>
      <c r="F353">
        <v>21</v>
      </c>
      <c r="G353">
        <v>96</v>
      </c>
      <c r="H353">
        <v>140</v>
      </c>
      <c r="I353" s="2">
        <v>6.4285714285714279E-2</v>
      </c>
    </row>
    <row r="354" spans="1:9" hidden="1" x14ac:dyDescent="0.3">
      <c r="A354">
        <v>36502701</v>
      </c>
      <c r="B354">
        <v>1</v>
      </c>
      <c r="C354">
        <v>16</v>
      </c>
      <c r="D354">
        <v>10</v>
      </c>
      <c r="E354">
        <v>17</v>
      </c>
      <c r="F354">
        <v>73</v>
      </c>
      <c r="G354">
        <v>126</v>
      </c>
      <c r="H354">
        <v>243</v>
      </c>
      <c r="I354" s="2">
        <v>6.584362139917696E-2</v>
      </c>
    </row>
    <row r="355" spans="1:9" hidden="1" x14ac:dyDescent="0.3">
      <c r="A355">
        <v>37198512</v>
      </c>
      <c r="B355">
        <v>1</v>
      </c>
      <c r="C355">
        <v>9</v>
      </c>
      <c r="D355">
        <v>7</v>
      </c>
      <c r="E355">
        <v>5</v>
      </c>
      <c r="F355">
        <v>1</v>
      </c>
      <c r="G355">
        <v>4</v>
      </c>
      <c r="H355">
        <v>27</v>
      </c>
      <c r="I355" s="2">
        <v>0.33333333333333331</v>
      </c>
    </row>
    <row r="356" spans="1:9" hidden="1" x14ac:dyDescent="0.3">
      <c r="A356">
        <v>37425030</v>
      </c>
      <c r="B356">
        <v>1</v>
      </c>
      <c r="C356">
        <v>6</v>
      </c>
      <c r="D356">
        <v>4</v>
      </c>
      <c r="E356">
        <v>25</v>
      </c>
      <c r="F356">
        <v>87</v>
      </c>
      <c r="G356">
        <v>114</v>
      </c>
      <c r="H356">
        <v>237</v>
      </c>
      <c r="I356" s="2">
        <v>2.5316455696202531E-2</v>
      </c>
    </row>
    <row r="357" spans="1:9" hidden="1" x14ac:dyDescent="0.3">
      <c r="A357">
        <v>37425617</v>
      </c>
      <c r="B357">
        <v>1</v>
      </c>
      <c r="C357">
        <v>6</v>
      </c>
      <c r="D357">
        <v>11</v>
      </c>
      <c r="E357">
        <v>17</v>
      </c>
      <c r="F357">
        <v>16</v>
      </c>
      <c r="G357">
        <v>59</v>
      </c>
      <c r="H357">
        <v>110</v>
      </c>
      <c r="I357" s="2">
        <v>5.4545454545454543E-2</v>
      </c>
    </row>
    <row r="358" spans="1:9" hidden="1" x14ac:dyDescent="0.3">
      <c r="A358">
        <v>37477227</v>
      </c>
      <c r="B358">
        <v>1</v>
      </c>
      <c r="C358">
        <v>8</v>
      </c>
      <c r="D358">
        <v>4</v>
      </c>
      <c r="E358">
        <v>22</v>
      </c>
      <c r="F358">
        <v>72</v>
      </c>
      <c r="G358">
        <v>85</v>
      </c>
      <c r="H358">
        <v>192</v>
      </c>
      <c r="I358" s="2">
        <v>4.1666666666666664E-2</v>
      </c>
    </row>
    <row r="359" spans="1:9" hidden="1" x14ac:dyDescent="0.3">
      <c r="A359">
        <v>37653354</v>
      </c>
      <c r="B359">
        <v>1</v>
      </c>
      <c r="C359">
        <v>8</v>
      </c>
      <c r="D359">
        <v>3</v>
      </c>
      <c r="E359">
        <v>1</v>
      </c>
      <c r="F359">
        <v>8</v>
      </c>
      <c r="G359">
        <v>11</v>
      </c>
      <c r="H359">
        <v>32</v>
      </c>
      <c r="I359" s="2">
        <v>0.25</v>
      </c>
    </row>
    <row r="360" spans="1:9" hidden="1" x14ac:dyDescent="0.3">
      <c r="A360">
        <v>37701005</v>
      </c>
      <c r="B360">
        <v>1</v>
      </c>
      <c r="C360">
        <v>9</v>
      </c>
      <c r="D360">
        <v>5</v>
      </c>
      <c r="E360">
        <v>8</v>
      </c>
      <c r="F360">
        <v>5</v>
      </c>
      <c r="G360">
        <v>2</v>
      </c>
      <c r="H360">
        <v>30</v>
      </c>
      <c r="I360" s="2">
        <v>0.3</v>
      </c>
    </row>
    <row r="361" spans="1:9" hidden="1" x14ac:dyDescent="0.3">
      <c r="A361">
        <v>37738483</v>
      </c>
      <c r="B361">
        <v>1</v>
      </c>
      <c r="C361">
        <v>20</v>
      </c>
      <c r="D361">
        <v>15</v>
      </c>
      <c r="E361">
        <v>71</v>
      </c>
      <c r="F361">
        <v>108</v>
      </c>
      <c r="G361">
        <v>112</v>
      </c>
      <c r="H361">
        <v>327</v>
      </c>
      <c r="I361" s="2">
        <v>6.1162079510703363E-2</v>
      </c>
    </row>
    <row r="362" spans="1:9" hidden="1" x14ac:dyDescent="0.3">
      <c r="A362">
        <v>37857844</v>
      </c>
      <c r="B362">
        <v>1</v>
      </c>
      <c r="C362">
        <v>6</v>
      </c>
      <c r="D362">
        <v>12</v>
      </c>
      <c r="E362">
        <v>7</v>
      </c>
      <c r="F362">
        <v>14</v>
      </c>
      <c r="G362">
        <v>25</v>
      </c>
      <c r="H362">
        <v>65</v>
      </c>
      <c r="I362" s="2">
        <v>9.2307692307692313E-2</v>
      </c>
    </row>
    <row r="363" spans="1:9" hidden="1" x14ac:dyDescent="0.3">
      <c r="A363">
        <v>37943695</v>
      </c>
      <c r="B363">
        <v>1</v>
      </c>
      <c r="C363">
        <v>11</v>
      </c>
      <c r="D363">
        <v>4</v>
      </c>
      <c r="E363">
        <v>10</v>
      </c>
      <c r="F363">
        <v>5</v>
      </c>
      <c r="G363">
        <v>35</v>
      </c>
      <c r="H363">
        <v>66</v>
      </c>
      <c r="I363" s="2">
        <v>0.16666666666666666</v>
      </c>
    </row>
    <row r="364" spans="1:9" hidden="1" x14ac:dyDescent="0.3">
      <c r="A364">
        <v>38057369</v>
      </c>
      <c r="B364">
        <v>1</v>
      </c>
      <c r="C364">
        <v>15</v>
      </c>
      <c r="D364">
        <v>11</v>
      </c>
      <c r="E364">
        <v>19</v>
      </c>
      <c r="F364">
        <v>39</v>
      </c>
      <c r="G364">
        <v>61</v>
      </c>
      <c r="H364">
        <v>146</v>
      </c>
      <c r="I364" s="2">
        <v>0.10273972602739725</v>
      </c>
    </row>
    <row r="365" spans="1:9" hidden="1" x14ac:dyDescent="0.3">
      <c r="A365">
        <v>38059070</v>
      </c>
      <c r="B365">
        <v>1</v>
      </c>
      <c r="C365">
        <v>12</v>
      </c>
      <c r="D365">
        <v>8</v>
      </c>
      <c r="E365">
        <v>2</v>
      </c>
      <c r="F365">
        <v>17</v>
      </c>
      <c r="G365">
        <v>74</v>
      </c>
      <c r="H365">
        <v>114</v>
      </c>
      <c r="I365" s="2">
        <v>0.10526315789473684</v>
      </c>
    </row>
    <row r="366" spans="1:9" hidden="1" x14ac:dyDescent="0.3">
      <c r="A366">
        <v>38266017</v>
      </c>
      <c r="B366">
        <v>1</v>
      </c>
      <c r="C366">
        <v>17</v>
      </c>
      <c r="D366">
        <v>17</v>
      </c>
      <c r="E366">
        <v>27</v>
      </c>
      <c r="F366">
        <v>44</v>
      </c>
      <c r="G366">
        <v>32</v>
      </c>
      <c r="H366">
        <v>138</v>
      </c>
      <c r="I366" s="2">
        <v>0.12318840579710146</v>
      </c>
    </row>
    <row r="367" spans="1:9" hidden="1" x14ac:dyDescent="0.3">
      <c r="A367">
        <v>38354359</v>
      </c>
      <c r="B367">
        <v>1</v>
      </c>
      <c r="C367">
        <v>14</v>
      </c>
      <c r="D367">
        <v>29</v>
      </c>
      <c r="E367">
        <v>109</v>
      </c>
      <c r="F367">
        <v>94</v>
      </c>
      <c r="G367">
        <v>132</v>
      </c>
      <c r="H367">
        <v>379</v>
      </c>
      <c r="I367" s="2">
        <v>3.6939313984168866E-2</v>
      </c>
    </row>
    <row r="368" spans="1:9" hidden="1" x14ac:dyDescent="0.3">
      <c r="A368">
        <v>38434826</v>
      </c>
      <c r="B368">
        <v>1</v>
      </c>
      <c r="C368">
        <v>11</v>
      </c>
      <c r="D368">
        <v>18</v>
      </c>
      <c r="E368">
        <v>34</v>
      </c>
      <c r="F368">
        <v>134</v>
      </c>
      <c r="G368">
        <v>135</v>
      </c>
      <c r="H368">
        <v>333</v>
      </c>
      <c r="I368" s="2">
        <v>3.3033033033033031E-2</v>
      </c>
    </row>
    <row r="369" spans="1:9" hidden="1" x14ac:dyDescent="0.3">
      <c r="A369">
        <v>38529795</v>
      </c>
      <c r="B369">
        <v>1</v>
      </c>
      <c r="C369">
        <v>9</v>
      </c>
      <c r="D369">
        <v>4</v>
      </c>
      <c r="E369">
        <v>15</v>
      </c>
      <c r="F369">
        <v>24</v>
      </c>
      <c r="G369">
        <v>67</v>
      </c>
      <c r="H369">
        <v>120</v>
      </c>
      <c r="I369" s="2">
        <v>7.4999999999999997E-2</v>
      </c>
    </row>
    <row r="370" spans="1:9" hidden="1" x14ac:dyDescent="0.3">
      <c r="A370">
        <v>38691541</v>
      </c>
      <c r="B370">
        <v>1</v>
      </c>
      <c r="C370">
        <v>6</v>
      </c>
      <c r="D370">
        <v>4</v>
      </c>
      <c r="E370">
        <v>7</v>
      </c>
      <c r="F370">
        <v>15</v>
      </c>
      <c r="G370">
        <v>28</v>
      </c>
      <c r="H370">
        <v>61</v>
      </c>
      <c r="I370" s="2">
        <v>9.8360655737704916E-2</v>
      </c>
    </row>
    <row r="371" spans="1:9" hidden="1" x14ac:dyDescent="0.3">
      <c r="A371">
        <v>38714066</v>
      </c>
      <c r="B371">
        <v>1</v>
      </c>
      <c r="C371">
        <v>8</v>
      </c>
      <c r="D371">
        <v>8</v>
      </c>
      <c r="E371">
        <v>24</v>
      </c>
      <c r="F371">
        <v>81</v>
      </c>
      <c r="G371">
        <v>103</v>
      </c>
      <c r="H371">
        <v>225</v>
      </c>
      <c r="I371" s="2">
        <v>3.5555555555555556E-2</v>
      </c>
    </row>
    <row r="372" spans="1:9" hidden="1" x14ac:dyDescent="0.3">
      <c r="A372">
        <v>38779684</v>
      </c>
      <c r="B372">
        <v>1</v>
      </c>
      <c r="C372">
        <v>66</v>
      </c>
      <c r="D372">
        <v>25</v>
      </c>
      <c r="E372">
        <v>7</v>
      </c>
      <c r="F372">
        <v>18</v>
      </c>
      <c r="G372">
        <v>133</v>
      </c>
      <c r="H372">
        <v>250</v>
      </c>
      <c r="I372" s="2">
        <v>0.26400000000000001</v>
      </c>
    </row>
    <row r="373" spans="1:9" hidden="1" x14ac:dyDescent="0.3">
      <c r="A373">
        <v>38909111</v>
      </c>
      <c r="B373">
        <v>1</v>
      </c>
      <c r="C373">
        <v>16</v>
      </c>
      <c r="D373">
        <v>13</v>
      </c>
      <c r="E373">
        <v>49</v>
      </c>
      <c r="F373">
        <v>90</v>
      </c>
      <c r="G373">
        <v>102</v>
      </c>
      <c r="H373">
        <v>271</v>
      </c>
      <c r="I373" s="2">
        <v>5.9040590405904057E-2</v>
      </c>
    </row>
    <row r="374" spans="1:9" hidden="1" x14ac:dyDescent="0.3">
      <c r="A374">
        <v>38932142</v>
      </c>
      <c r="B374">
        <v>1</v>
      </c>
      <c r="C374">
        <v>9</v>
      </c>
      <c r="D374">
        <v>6</v>
      </c>
      <c r="E374">
        <v>3</v>
      </c>
      <c r="F374">
        <v>7</v>
      </c>
      <c r="G374">
        <v>1</v>
      </c>
      <c r="H374">
        <v>27</v>
      </c>
      <c r="I374" s="2">
        <v>0.33333333333333331</v>
      </c>
    </row>
    <row r="375" spans="1:9" hidden="1" x14ac:dyDescent="0.3">
      <c r="A375">
        <v>39112036</v>
      </c>
      <c r="B375">
        <v>1</v>
      </c>
      <c r="C375">
        <v>6</v>
      </c>
      <c r="D375">
        <v>9</v>
      </c>
      <c r="E375">
        <v>15</v>
      </c>
      <c r="F375">
        <v>27</v>
      </c>
      <c r="G375">
        <v>85</v>
      </c>
      <c r="H375">
        <v>143</v>
      </c>
      <c r="I375" s="2">
        <v>4.195804195804196E-2</v>
      </c>
    </row>
    <row r="376" spans="1:9" hidden="1" x14ac:dyDescent="0.3">
      <c r="A376">
        <v>39235265</v>
      </c>
      <c r="B376">
        <v>1</v>
      </c>
      <c r="C376">
        <v>23</v>
      </c>
      <c r="D376">
        <v>3</v>
      </c>
      <c r="E376">
        <v>8</v>
      </c>
      <c r="F376">
        <v>10</v>
      </c>
      <c r="G376">
        <v>57</v>
      </c>
      <c r="H376">
        <v>102</v>
      </c>
      <c r="I376" s="2">
        <v>0.22549019607843138</v>
      </c>
    </row>
    <row r="377" spans="1:9" hidden="1" x14ac:dyDescent="0.3">
      <c r="A377">
        <v>39402809</v>
      </c>
      <c r="B377">
        <v>1</v>
      </c>
      <c r="C377">
        <v>7</v>
      </c>
      <c r="D377">
        <v>4</v>
      </c>
      <c r="E377">
        <v>5</v>
      </c>
      <c r="F377">
        <v>26</v>
      </c>
      <c r="G377">
        <v>75</v>
      </c>
      <c r="H377">
        <v>118</v>
      </c>
      <c r="I377" s="2">
        <v>5.9322033898305086E-2</v>
      </c>
    </row>
    <row r="378" spans="1:9" hidden="1" x14ac:dyDescent="0.3">
      <c r="A378">
        <v>39481204</v>
      </c>
      <c r="B378">
        <v>1</v>
      </c>
      <c r="C378">
        <v>11</v>
      </c>
      <c r="D378">
        <v>19</v>
      </c>
      <c r="E378">
        <v>100</v>
      </c>
      <c r="F378">
        <v>139</v>
      </c>
      <c r="G378">
        <v>134</v>
      </c>
      <c r="H378">
        <v>404</v>
      </c>
      <c r="I378" s="2">
        <v>2.7227722772277228E-2</v>
      </c>
    </row>
    <row r="379" spans="1:9" hidden="1" x14ac:dyDescent="0.3">
      <c r="A379">
        <v>39496663</v>
      </c>
      <c r="B379">
        <v>1</v>
      </c>
      <c r="C379">
        <v>6</v>
      </c>
      <c r="D379">
        <v>4</v>
      </c>
      <c r="E379">
        <v>4</v>
      </c>
      <c r="F379">
        <v>20</v>
      </c>
      <c r="G379">
        <v>86</v>
      </c>
      <c r="H379">
        <v>121</v>
      </c>
      <c r="I379" s="2">
        <v>4.9586776859504134E-2</v>
      </c>
    </row>
    <row r="380" spans="1:9" hidden="1" x14ac:dyDescent="0.3">
      <c r="A380">
        <v>39689187</v>
      </c>
      <c r="B380">
        <v>1</v>
      </c>
      <c r="C380">
        <v>21</v>
      </c>
      <c r="D380">
        <v>11</v>
      </c>
      <c r="E380">
        <v>42</v>
      </c>
      <c r="F380">
        <v>115</v>
      </c>
      <c r="G380">
        <v>95</v>
      </c>
      <c r="H380">
        <v>285</v>
      </c>
      <c r="I380" s="2">
        <v>7.3684210526315783E-2</v>
      </c>
    </row>
    <row r="381" spans="1:9" hidden="1" x14ac:dyDescent="0.3">
      <c r="A381">
        <v>39708797</v>
      </c>
      <c r="B381">
        <v>1</v>
      </c>
      <c r="C381">
        <v>8</v>
      </c>
      <c r="D381">
        <v>7</v>
      </c>
      <c r="E381">
        <v>16</v>
      </c>
      <c r="F381">
        <v>39</v>
      </c>
      <c r="G381">
        <v>105</v>
      </c>
      <c r="H381">
        <v>176</v>
      </c>
      <c r="I381" s="2">
        <v>4.5454545454545456E-2</v>
      </c>
    </row>
    <row r="382" spans="1:9" hidden="1" x14ac:dyDescent="0.3">
      <c r="A382">
        <v>39717749</v>
      </c>
      <c r="B382">
        <v>1</v>
      </c>
      <c r="C382">
        <v>10</v>
      </c>
      <c r="D382">
        <v>1</v>
      </c>
      <c r="E382">
        <v>3</v>
      </c>
      <c r="F382">
        <v>0</v>
      </c>
      <c r="G382">
        <v>16</v>
      </c>
      <c r="H382">
        <v>31</v>
      </c>
      <c r="I382" s="2">
        <v>0.32258064516129031</v>
      </c>
    </row>
    <row r="383" spans="1:9" hidden="1" x14ac:dyDescent="0.3">
      <c r="A383">
        <v>39736484</v>
      </c>
      <c r="B383">
        <v>1</v>
      </c>
      <c r="C383">
        <v>10</v>
      </c>
      <c r="D383">
        <v>6</v>
      </c>
      <c r="E383">
        <v>9</v>
      </c>
      <c r="F383">
        <v>33</v>
      </c>
      <c r="G383">
        <v>102</v>
      </c>
      <c r="H383">
        <v>161</v>
      </c>
      <c r="I383" s="2">
        <v>6.2111801242236024E-2</v>
      </c>
    </row>
    <row r="384" spans="1:9" hidden="1" x14ac:dyDescent="0.3">
      <c r="A384">
        <v>39810382</v>
      </c>
      <c r="B384">
        <v>1</v>
      </c>
      <c r="C384">
        <v>26</v>
      </c>
      <c r="D384">
        <v>10</v>
      </c>
      <c r="E384">
        <v>26</v>
      </c>
      <c r="F384">
        <v>91</v>
      </c>
      <c r="G384">
        <v>122</v>
      </c>
      <c r="H384">
        <v>276</v>
      </c>
      <c r="I384" s="2">
        <v>9.420289855072464E-2</v>
      </c>
    </row>
    <row r="385" spans="1:9" hidden="1" x14ac:dyDescent="0.3">
      <c r="A385">
        <v>40166382</v>
      </c>
      <c r="B385">
        <v>1</v>
      </c>
      <c r="C385">
        <v>7</v>
      </c>
      <c r="D385">
        <v>1</v>
      </c>
      <c r="E385">
        <v>0</v>
      </c>
      <c r="F385">
        <v>2</v>
      </c>
      <c r="G385">
        <v>28</v>
      </c>
      <c r="H385">
        <v>39</v>
      </c>
      <c r="I385" s="2">
        <v>0.17948717948717949</v>
      </c>
    </row>
    <row r="386" spans="1:9" hidden="1" x14ac:dyDescent="0.3">
      <c r="A386">
        <v>40172229</v>
      </c>
      <c r="B386">
        <v>1</v>
      </c>
      <c r="C386">
        <v>7</v>
      </c>
      <c r="D386">
        <v>5</v>
      </c>
      <c r="E386">
        <v>34</v>
      </c>
      <c r="F386">
        <v>62</v>
      </c>
      <c r="G386">
        <v>72</v>
      </c>
      <c r="H386">
        <v>181</v>
      </c>
      <c r="I386" s="2">
        <v>3.8674033149171269E-2</v>
      </c>
    </row>
    <row r="387" spans="1:9" hidden="1" x14ac:dyDescent="0.3">
      <c r="A387">
        <v>40201158</v>
      </c>
      <c r="B387">
        <v>1</v>
      </c>
      <c r="C387">
        <v>12</v>
      </c>
      <c r="D387">
        <v>8</v>
      </c>
      <c r="E387">
        <v>11</v>
      </c>
      <c r="F387">
        <v>13</v>
      </c>
      <c r="G387">
        <v>38</v>
      </c>
      <c r="H387">
        <v>83</v>
      </c>
      <c r="I387" s="2">
        <v>0.14457831325301204</v>
      </c>
    </row>
    <row r="388" spans="1:9" hidden="1" x14ac:dyDescent="0.3">
      <c r="A388">
        <v>40252471</v>
      </c>
      <c r="B388">
        <v>1</v>
      </c>
      <c r="C388">
        <v>7</v>
      </c>
      <c r="D388">
        <v>4</v>
      </c>
      <c r="E388">
        <v>9</v>
      </c>
      <c r="F388">
        <v>12</v>
      </c>
      <c r="G388">
        <v>63</v>
      </c>
      <c r="H388">
        <v>96</v>
      </c>
      <c r="I388" s="2">
        <v>7.2916666666666671E-2</v>
      </c>
    </row>
    <row r="389" spans="1:9" hidden="1" x14ac:dyDescent="0.3">
      <c r="A389">
        <v>40399094</v>
      </c>
      <c r="B389">
        <v>1</v>
      </c>
      <c r="C389">
        <v>6</v>
      </c>
      <c r="D389">
        <v>0</v>
      </c>
      <c r="E389">
        <v>31</v>
      </c>
      <c r="F389">
        <v>33</v>
      </c>
      <c r="G389">
        <v>34</v>
      </c>
      <c r="H389">
        <v>105</v>
      </c>
      <c r="I389" s="2">
        <v>5.7142857142857141E-2</v>
      </c>
    </row>
    <row r="390" spans="1:9" hidden="1" x14ac:dyDescent="0.3">
      <c r="A390">
        <v>40413296</v>
      </c>
      <c r="B390">
        <v>1</v>
      </c>
      <c r="C390">
        <v>12</v>
      </c>
      <c r="D390">
        <v>3</v>
      </c>
      <c r="E390">
        <v>21</v>
      </c>
      <c r="F390">
        <v>42</v>
      </c>
      <c r="G390">
        <v>112</v>
      </c>
      <c r="H390">
        <v>191</v>
      </c>
      <c r="I390" s="2">
        <v>6.2827225130890049E-2</v>
      </c>
    </row>
    <row r="391" spans="1:9" hidden="1" x14ac:dyDescent="0.3">
      <c r="A391">
        <v>40592447</v>
      </c>
      <c r="B391">
        <v>1</v>
      </c>
      <c r="C391">
        <v>21</v>
      </c>
      <c r="D391">
        <v>9</v>
      </c>
      <c r="E391">
        <v>40</v>
      </c>
      <c r="F391">
        <v>75</v>
      </c>
      <c r="G391">
        <v>120</v>
      </c>
      <c r="H391">
        <v>266</v>
      </c>
      <c r="I391" s="2">
        <v>7.8947368421052627E-2</v>
      </c>
    </row>
    <row r="392" spans="1:9" hidden="1" x14ac:dyDescent="0.3">
      <c r="A392">
        <v>40653894</v>
      </c>
      <c r="B392">
        <v>1</v>
      </c>
      <c r="C392">
        <v>29</v>
      </c>
      <c r="D392">
        <v>9</v>
      </c>
      <c r="E392">
        <v>10</v>
      </c>
      <c r="F392">
        <v>19</v>
      </c>
      <c r="G392">
        <v>36</v>
      </c>
      <c r="H392">
        <v>104</v>
      </c>
      <c r="I392" s="2">
        <v>0.27884615384615385</v>
      </c>
    </row>
    <row r="393" spans="1:9" hidden="1" x14ac:dyDescent="0.3">
      <c r="A393">
        <v>40658045</v>
      </c>
      <c r="B393">
        <v>1</v>
      </c>
      <c r="C393">
        <v>6</v>
      </c>
      <c r="D393">
        <v>4</v>
      </c>
      <c r="E393">
        <v>5</v>
      </c>
      <c r="F393">
        <v>6</v>
      </c>
      <c r="G393">
        <v>4</v>
      </c>
      <c r="H393">
        <v>26</v>
      </c>
      <c r="I393" s="2">
        <v>0.23076923076923078</v>
      </c>
    </row>
    <row r="394" spans="1:9" hidden="1" x14ac:dyDescent="0.3">
      <c r="A394">
        <v>40991655</v>
      </c>
      <c r="B394">
        <v>1</v>
      </c>
      <c r="C394">
        <v>9</v>
      </c>
      <c r="D394">
        <v>1</v>
      </c>
      <c r="E394">
        <v>5</v>
      </c>
      <c r="F394">
        <v>6</v>
      </c>
      <c r="G394">
        <v>48</v>
      </c>
      <c r="H394">
        <v>70</v>
      </c>
      <c r="I394" s="2">
        <v>0.12857142857142856</v>
      </c>
    </row>
    <row r="395" spans="1:9" hidden="1" x14ac:dyDescent="0.3">
      <c r="A395">
        <v>41001492</v>
      </c>
      <c r="B395">
        <v>1</v>
      </c>
      <c r="C395">
        <v>6</v>
      </c>
      <c r="D395">
        <v>13</v>
      </c>
      <c r="E395">
        <v>28</v>
      </c>
      <c r="F395">
        <v>62</v>
      </c>
      <c r="G395">
        <v>138</v>
      </c>
      <c r="H395">
        <v>248</v>
      </c>
      <c r="I395" s="2">
        <v>2.4193548387096774E-2</v>
      </c>
    </row>
    <row r="396" spans="1:9" hidden="1" x14ac:dyDescent="0.3">
      <c r="A396">
        <v>41047414</v>
      </c>
      <c r="B396">
        <v>1</v>
      </c>
      <c r="C396">
        <v>6</v>
      </c>
      <c r="D396">
        <v>7</v>
      </c>
      <c r="E396">
        <v>5</v>
      </c>
      <c r="F396">
        <v>2</v>
      </c>
      <c r="G396">
        <v>22</v>
      </c>
      <c r="H396">
        <v>43</v>
      </c>
      <c r="I396" s="2">
        <v>0.13953488372093023</v>
      </c>
    </row>
    <row r="397" spans="1:9" hidden="1" x14ac:dyDescent="0.3">
      <c r="A397">
        <v>41265959</v>
      </c>
      <c r="B397">
        <v>1</v>
      </c>
      <c r="C397">
        <v>6</v>
      </c>
      <c r="D397">
        <v>2</v>
      </c>
      <c r="E397">
        <v>19</v>
      </c>
      <c r="F397">
        <v>23</v>
      </c>
      <c r="G397">
        <v>53</v>
      </c>
      <c r="H397">
        <v>104</v>
      </c>
      <c r="I397" s="2">
        <v>5.7692307692307696E-2</v>
      </c>
    </row>
    <row r="398" spans="1:9" hidden="1" x14ac:dyDescent="0.3">
      <c r="A398">
        <v>41327175</v>
      </c>
      <c r="B398">
        <v>1</v>
      </c>
      <c r="C398">
        <v>8</v>
      </c>
      <c r="D398">
        <v>7</v>
      </c>
      <c r="E398">
        <v>20</v>
      </c>
      <c r="F398">
        <v>50</v>
      </c>
      <c r="G398">
        <v>54</v>
      </c>
      <c r="H398">
        <v>140</v>
      </c>
      <c r="I398" s="2">
        <v>5.7142857142857141E-2</v>
      </c>
    </row>
    <row r="399" spans="1:9" hidden="1" x14ac:dyDescent="0.3">
      <c r="A399">
        <v>41422046</v>
      </c>
      <c r="B399">
        <v>1</v>
      </c>
      <c r="C399">
        <v>7</v>
      </c>
      <c r="D399">
        <v>0</v>
      </c>
      <c r="E399">
        <v>11</v>
      </c>
      <c r="F399">
        <v>6</v>
      </c>
      <c r="G399">
        <v>14</v>
      </c>
      <c r="H399">
        <v>39</v>
      </c>
      <c r="I399" s="2">
        <v>0.17948717948717949</v>
      </c>
    </row>
    <row r="400" spans="1:9" hidden="1" x14ac:dyDescent="0.3">
      <c r="A400">
        <v>41443997</v>
      </c>
      <c r="B400">
        <v>1</v>
      </c>
      <c r="C400">
        <v>7</v>
      </c>
      <c r="D400">
        <v>8</v>
      </c>
      <c r="E400">
        <v>15</v>
      </c>
      <c r="F400">
        <v>52</v>
      </c>
      <c r="G400">
        <v>86</v>
      </c>
      <c r="H400">
        <v>169</v>
      </c>
      <c r="I400" s="2">
        <v>4.142011834319527E-2</v>
      </c>
    </row>
    <row r="401" spans="1:9" hidden="1" x14ac:dyDescent="0.3">
      <c r="A401">
        <v>41505206</v>
      </c>
      <c r="B401">
        <v>1</v>
      </c>
      <c r="C401">
        <v>19</v>
      </c>
      <c r="D401">
        <v>4</v>
      </c>
      <c r="E401">
        <v>8</v>
      </c>
      <c r="F401">
        <v>48</v>
      </c>
      <c r="G401">
        <v>105</v>
      </c>
      <c r="H401">
        <v>185</v>
      </c>
      <c r="I401" s="2">
        <v>0.10270270270270271</v>
      </c>
    </row>
    <row r="402" spans="1:9" hidden="1" x14ac:dyDescent="0.3">
      <c r="A402">
        <v>41722743</v>
      </c>
      <c r="B402">
        <v>1</v>
      </c>
      <c r="C402">
        <v>8</v>
      </c>
      <c r="D402">
        <v>12</v>
      </c>
      <c r="E402">
        <v>31</v>
      </c>
      <c r="F402">
        <v>30</v>
      </c>
      <c r="G402">
        <v>31</v>
      </c>
      <c r="H402">
        <v>113</v>
      </c>
      <c r="I402" s="2">
        <v>7.0796460176991149E-2</v>
      </c>
    </row>
    <row r="403" spans="1:9" hidden="1" x14ac:dyDescent="0.3">
      <c r="A403">
        <v>41733217</v>
      </c>
      <c r="B403">
        <v>1</v>
      </c>
      <c r="C403">
        <v>15</v>
      </c>
      <c r="D403">
        <v>12</v>
      </c>
      <c r="E403">
        <v>40</v>
      </c>
      <c r="F403">
        <v>70</v>
      </c>
      <c r="G403">
        <v>102</v>
      </c>
      <c r="H403">
        <v>240</v>
      </c>
      <c r="I403" s="2">
        <v>6.25E-2</v>
      </c>
    </row>
    <row r="404" spans="1:9" hidden="1" x14ac:dyDescent="0.3">
      <c r="A404">
        <v>41772113</v>
      </c>
      <c r="B404">
        <v>1</v>
      </c>
      <c r="C404">
        <v>6</v>
      </c>
      <c r="D404">
        <v>6</v>
      </c>
      <c r="E404">
        <v>7</v>
      </c>
      <c r="F404">
        <v>15</v>
      </c>
      <c r="G404">
        <v>26</v>
      </c>
      <c r="H404">
        <v>61</v>
      </c>
      <c r="I404" s="2">
        <v>9.8360655737704916E-2</v>
      </c>
    </row>
    <row r="405" spans="1:9" hidden="1" x14ac:dyDescent="0.3">
      <c r="A405">
        <v>41790694</v>
      </c>
      <c r="B405">
        <v>1</v>
      </c>
      <c r="C405">
        <v>6</v>
      </c>
      <c r="D405">
        <v>2</v>
      </c>
      <c r="E405">
        <v>4</v>
      </c>
      <c r="F405">
        <v>12</v>
      </c>
      <c r="G405">
        <v>36</v>
      </c>
      <c r="H405">
        <v>61</v>
      </c>
      <c r="I405" s="2">
        <v>9.8360655737704916E-2</v>
      </c>
    </row>
    <row r="406" spans="1:9" hidden="1" x14ac:dyDescent="0.3">
      <c r="A406">
        <v>41848357</v>
      </c>
      <c r="B406">
        <v>1</v>
      </c>
      <c r="C406">
        <v>8</v>
      </c>
      <c r="D406">
        <v>9</v>
      </c>
      <c r="E406">
        <v>29</v>
      </c>
      <c r="F406">
        <v>92</v>
      </c>
      <c r="G406">
        <v>131</v>
      </c>
      <c r="H406">
        <v>270</v>
      </c>
      <c r="I406" s="2">
        <v>2.9629629629629631E-2</v>
      </c>
    </row>
    <row r="407" spans="1:9" hidden="1" x14ac:dyDescent="0.3">
      <c r="A407">
        <v>41971784</v>
      </c>
      <c r="B407">
        <v>1</v>
      </c>
      <c r="C407">
        <v>9</v>
      </c>
      <c r="D407">
        <v>6</v>
      </c>
      <c r="E407">
        <v>9</v>
      </c>
      <c r="F407">
        <v>5</v>
      </c>
      <c r="G407">
        <v>14</v>
      </c>
      <c r="H407">
        <v>44</v>
      </c>
      <c r="I407" s="2">
        <v>0.20454545454545456</v>
      </c>
    </row>
    <row r="408" spans="1:9" hidden="1" x14ac:dyDescent="0.3">
      <c r="A408">
        <v>41992415</v>
      </c>
      <c r="B408">
        <v>1</v>
      </c>
      <c r="C408">
        <v>19</v>
      </c>
      <c r="D408">
        <v>10</v>
      </c>
      <c r="E408">
        <v>44</v>
      </c>
      <c r="F408">
        <v>78</v>
      </c>
      <c r="G408">
        <v>110</v>
      </c>
      <c r="H408">
        <v>262</v>
      </c>
      <c r="I408" s="2">
        <v>7.2519083969465645E-2</v>
      </c>
    </row>
    <row r="409" spans="1:9" hidden="1" x14ac:dyDescent="0.3">
      <c r="A409">
        <v>42163159</v>
      </c>
      <c r="B409">
        <v>1</v>
      </c>
      <c r="C409">
        <v>7</v>
      </c>
      <c r="D409">
        <v>22</v>
      </c>
      <c r="E409">
        <v>122</v>
      </c>
      <c r="F409">
        <v>323</v>
      </c>
      <c r="G409">
        <v>158</v>
      </c>
      <c r="H409">
        <v>633</v>
      </c>
      <c r="I409" s="2">
        <v>1.1058451816745656E-2</v>
      </c>
    </row>
    <row r="410" spans="1:9" hidden="1" x14ac:dyDescent="0.3">
      <c r="A410">
        <v>42233589</v>
      </c>
      <c r="B410">
        <v>1</v>
      </c>
      <c r="C410">
        <v>8</v>
      </c>
      <c r="D410">
        <v>4</v>
      </c>
      <c r="E410">
        <v>14</v>
      </c>
      <c r="F410">
        <v>19</v>
      </c>
      <c r="G410">
        <v>52</v>
      </c>
      <c r="H410">
        <v>98</v>
      </c>
      <c r="I410" s="2">
        <v>8.1632653061224483E-2</v>
      </c>
    </row>
    <row r="411" spans="1:9" hidden="1" x14ac:dyDescent="0.3">
      <c r="A411">
        <v>42309805</v>
      </c>
      <c r="B411">
        <v>1</v>
      </c>
      <c r="C411">
        <v>10</v>
      </c>
      <c r="D411">
        <v>5</v>
      </c>
      <c r="E411">
        <v>7</v>
      </c>
      <c r="F411">
        <v>11</v>
      </c>
      <c r="G411">
        <v>15</v>
      </c>
      <c r="H411">
        <v>49</v>
      </c>
      <c r="I411" s="2">
        <v>0.20408163265306123</v>
      </c>
    </row>
    <row r="412" spans="1:9" hidden="1" x14ac:dyDescent="0.3">
      <c r="A412">
        <v>42320089</v>
      </c>
      <c r="B412">
        <v>1</v>
      </c>
      <c r="C412">
        <v>10</v>
      </c>
      <c r="D412">
        <v>5</v>
      </c>
      <c r="E412">
        <v>14</v>
      </c>
      <c r="F412">
        <v>18</v>
      </c>
      <c r="G412">
        <v>26</v>
      </c>
      <c r="H412">
        <v>74</v>
      </c>
      <c r="I412" s="2">
        <v>0.13513513513513514</v>
      </c>
    </row>
    <row r="413" spans="1:9" hidden="1" x14ac:dyDescent="0.3">
      <c r="A413">
        <v>42393209</v>
      </c>
      <c r="B413">
        <v>1</v>
      </c>
      <c r="C413">
        <v>6</v>
      </c>
      <c r="D413">
        <v>3</v>
      </c>
      <c r="E413">
        <v>5</v>
      </c>
      <c r="F413">
        <v>2</v>
      </c>
      <c r="G413">
        <v>6</v>
      </c>
      <c r="H413">
        <v>23</v>
      </c>
      <c r="I413" s="2">
        <v>0.2608695652173913</v>
      </c>
    </row>
    <row r="414" spans="1:9" hidden="1" x14ac:dyDescent="0.3">
      <c r="A414">
        <v>42399840</v>
      </c>
      <c r="B414">
        <v>1</v>
      </c>
      <c r="C414">
        <v>7</v>
      </c>
      <c r="D414">
        <v>1</v>
      </c>
      <c r="E414">
        <v>0</v>
      </c>
      <c r="F414">
        <v>1</v>
      </c>
      <c r="G414">
        <v>23</v>
      </c>
      <c r="H414">
        <v>33</v>
      </c>
      <c r="I414" s="2">
        <v>0.21212121212121213</v>
      </c>
    </row>
    <row r="415" spans="1:9" hidden="1" x14ac:dyDescent="0.3">
      <c r="A415">
        <v>42415945</v>
      </c>
      <c r="B415">
        <v>1</v>
      </c>
      <c r="C415">
        <v>7</v>
      </c>
      <c r="D415">
        <v>8</v>
      </c>
      <c r="E415">
        <v>27</v>
      </c>
      <c r="F415">
        <v>37</v>
      </c>
      <c r="G415">
        <v>67</v>
      </c>
      <c r="H415">
        <v>147</v>
      </c>
      <c r="I415" s="2">
        <v>4.7619047619047616E-2</v>
      </c>
    </row>
    <row r="416" spans="1:9" hidden="1" x14ac:dyDescent="0.3">
      <c r="A416">
        <v>42472069</v>
      </c>
      <c r="B416">
        <v>1</v>
      </c>
      <c r="C416">
        <v>7</v>
      </c>
      <c r="D416">
        <v>12</v>
      </c>
      <c r="E416">
        <v>61</v>
      </c>
      <c r="F416">
        <v>83</v>
      </c>
      <c r="G416">
        <v>137</v>
      </c>
      <c r="H416">
        <v>301</v>
      </c>
      <c r="I416" s="2">
        <v>2.3255813953488372E-2</v>
      </c>
    </row>
    <row r="417" spans="1:9" hidden="1" x14ac:dyDescent="0.3">
      <c r="A417">
        <v>42541049</v>
      </c>
      <c r="B417">
        <v>1</v>
      </c>
      <c r="C417">
        <v>7</v>
      </c>
      <c r="D417">
        <v>3</v>
      </c>
      <c r="E417">
        <v>25</v>
      </c>
      <c r="F417">
        <v>72</v>
      </c>
      <c r="G417">
        <v>119</v>
      </c>
      <c r="H417">
        <v>227</v>
      </c>
      <c r="I417" s="2">
        <v>3.0837004405286344E-2</v>
      </c>
    </row>
    <row r="418" spans="1:9" hidden="1" x14ac:dyDescent="0.3">
      <c r="A418">
        <v>42657309</v>
      </c>
      <c r="B418">
        <v>1</v>
      </c>
      <c r="C418">
        <v>11</v>
      </c>
      <c r="D418">
        <v>12</v>
      </c>
      <c r="E418">
        <v>46</v>
      </c>
      <c r="F418">
        <v>22</v>
      </c>
      <c r="G418">
        <v>31</v>
      </c>
      <c r="H418">
        <v>123</v>
      </c>
      <c r="I418" s="2">
        <v>8.943089430894309E-2</v>
      </c>
    </row>
    <row r="419" spans="1:9" hidden="1" x14ac:dyDescent="0.3">
      <c r="A419">
        <v>42753849</v>
      </c>
      <c r="B419">
        <v>1</v>
      </c>
      <c r="C419">
        <v>12</v>
      </c>
      <c r="D419">
        <v>4</v>
      </c>
      <c r="E419">
        <v>14</v>
      </c>
      <c r="F419">
        <v>133</v>
      </c>
      <c r="G419">
        <v>80</v>
      </c>
      <c r="H419">
        <v>244</v>
      </c>
      <c r="I419" s="2">
        <v>4.9180327868852458E-2</v>
      </c>
    </row>
    <row r="420" spans="1:9" hidden="1" x14ac:dyDescent="0.3">
      <c r="A420">
        <v>42827302</v>
      </c>
      <c r="B420">
        <v>1</v>
      </c>
      <c r="C420">
        <v>9</v>
      </c>
      <c r="D420">
        <v>5</v>
      </c>
      <c r="E420">
        <v>24</v>
      </c>
      <c r="F420">
        <v>38</v>
      </c>
      <c r="G420">
        <v>57</v>
      </c>
      <c r="H420">
        <v>134</v>
      </c>
      <c r="I420" s="2">
        <v>6.7164179104477612E-2</v>
      </c>
    </row>
    <row r="421" spans="1:9" hidden="1" x14ac:dyDescent="0.3">
      <c r="A421">
        <v>42953426</v>
      </c>
      <c r="B421">
        <v>1</v>
      </c>
      <c r="C421">
        <v>7</v>
      </c>
      <c r="D421">
        <v>9</v>
      </c>
      <c r="E421">
        <v>43</v>
      </c>
      <c r="F421">
        <v>155</v>
      </c>
      <c r="G421">
        <v>119</v>
      </c>
      <c r="H421">
        <v>334</v>
      </c>
      <c r="I421" s="2">
        <v>2.0958083832335328E-2</v>
      </c>
    </row>
    <row r="422" spans="1:9" x14ac:dyDescent="0.3">
      <c r="A422">
        <v>43230061</v>
      </c>
      <c r="B422">
        <v>1</v>
      </c>
      <c r="C422">
        <v>91</v>
      </c>
      <c r="D422">
        <v>33</v>
      </c>
      <c r="E422">
        <v>4</v>
      </c>
      <c r="F422">
        <v>0</v>
      </c>
      <c r="G422">
        <v>1</v>
      </c>
      <c r="H422">
        <v>130</v>
      </c>
      <c r="I422" s="2">
        <v>0.7</v>
      </c>
    </row>
    <row r="423" spans="1:9" hidden="1" x14ac:dyDescent="0.3">
      <c r="A423">
        <v>43254902</v>
      </c>
      <c r="B423">
        <v>1</v>
      </c>
      <c r="C423">
        <v>12</v>
      </c>
      <c r="D423">
        <v>1</v>
      </c>
      <c r="E423">
        <v>5</v>
      </c>
      <c r="F423">
        <v>5</v>
      </c>
      <c r="G423">
        <v>0</v>
      </c>
      <c r="H423">
        <v>24</v>
      </c>
      <c r="I423" s="2">
        <v>0.5</v>
      </c>
    </row>
    <row r="424" spans="1:9" hidden="1" x14ac:dyDescent="0.3">
      <c r="A424">
        <v>43287646</v>
      </c>
      <c r="B424">
        <v>1</v>
      </c>
      <c r="C424">
        <v>9</v>
      </c>
      <c r="D424">
        <v>12</v>
      </c>
      <c r="E424">
        <v>41</v>
      </c>
      <c r="F424">
        <v>9</v>
      </c>
      <c r="G424">
        <v>4</v>
      </c>
      <c r="H424">
        <v>76</v>
      </c>
      <c r="I424" s="2">
        <v>0.11842105263157894</v>
      </c>
    </row>
    <row r="425" spans="1:9" x14ac:dyDescent="0.3">
      <c r="A425">
        <v>43290314</v>
      </c>
      <c r="B425">
        <v>1</v>
      </c>
      <c r="C425">
        <v>88</v>
      </c>
      <c r="D425">
        <v>34</v>
      </c>
      <c r="E425">
        <v>9</v>
      </c>
      <c r="F425">
        <v>0</v>
      </c>
      <c r="G425">
        <v>1</v>
      </c>
      <c r="H425">
        <v>133</v>
      </c>
      <c r="I425" s="2">
        <v>0.66165413533834583</v>
      </c>
    </row>
    <row r="426" spans="1:9" hidden="1" x14ac:dyDescent="0.3">
      <c r="A426">
        <v>43299297</v>
      </c>
      <c r="B426">
        <v>1</v>
      </c>
      <c r="C426">
        <v>6</v>
      </c>
      <c r="D426">
        <v>8</v>
      </c>
      <c r="E426">
        <v>13</v>
      </c>
      <c r="F426">
        <v>0</v>
      </c>
      <c r="G426">
        <v>6</v>
      </c>
      <c r="H426">
        <v>34</v>
      </c>
      <c r="I426" s="2">
        <v>0.17647058823529413</v>
      </c>
    </row>
    <row r="427" spans="1:9" x14ac:dyDescent="0.3">
      <c r="A427">
        <v>43319297</v>
      </c>
      <c r="B427">
        <v>1</v>
      </c>
      <c r="C427">
        <v>63</v>
      </c>
      <c r="D427">
        <v>26</v>
      </c>
      <c r="E427">
        <v>9</v>
      </c>
      <c r="F427">
        <v>2</v>
      </c>
      <c r="G427">
        <v>0</v>
      </c>
      <c r="H427">
        <v>101</v>
      </c>
      <c r="I427" s="2">
        <v>0.62376237623762376</v>
      </c>
    </row>
    <row r="428" spans="1:9" x14ac:dyDescent="0.3">
      <c r="A428">
        <v>43346700</v>
      </c>
      <c r="B428">
        <v>1</v>
      </c>
      <c r="C428">
        <v>101</v>
      </c>
      <c r="D428">
        <v>16</v>
      </c>
      <c r="E428">
        <v>7</v>
      </c>
      <c r="F428">
        <v>1</v>
      </c>
      <c r="G428">
        <v>0</v>
      </c>
      <c r="H428">
        <v>126</v>
      </c>
      <c r="I428" s="2">
        <v>0.80158730158730163</v>
      </c>
    </row>
    <row r="429" spans="1:9" x14ac:dyDescent="0.3">
      <c r="A429">
        <v>43374604</v>
      </c>
      <c r="B429">
        <v>1</v>
      </c>
      <c r="C429">
        <v>61</v>
      </c>
      <c r="D429">
        <v>15</v>
      </c>
      <c r="E429">
        <v>3</v>
      </c>
      <c r="F429">
        <v>0</v>
      </c>
      <c r="G429">
        <v>0</v>
      </c>
      <c r="H429">
        <v>80</v>
      </c>
      <c r="I429" s="2">
        <v>0.76249999999999996</v>
      </c>
    </row>
    <row r="430" spans="1:9" hidden="1" x14ac:dyDescent="0.3">
      <c r="A430">
        <v>43382875</v>
      </c>
      <c r="B430">
        <v>1</v>
      </c>
      <c r="C430">
        <v>8</v>
      </c>
      <c r="D430">
        <v>18</v>
      </c>
      <c r="E430">
        <v>41</v>
      </c>
      <c r="F430">
        <v>69</v>
      </c>
      <c r="G430">
        <v>97</v>
      </c>
      <c r="H430">
        <v>234</v>
      </c>
      <c r="I430" s="2">
        <v>3.4188034188034191E-2</v>
      </c>
    </row>
    <row r="431" spans="1:9" x14ac:dyDescent="0.3">
      <c r="A431">
        <v>43402439</v>
      </c>
      <c r="B431">
        <v>1</v>
      </c>
      <c r="C431">
        <v>96</v>
      </c>
      <c r="D431">
        <v>26</v>
      </c>
      <c r="E431">
        <v>6</v>
      </c>
      <c r="F431">
        <v>1</v>
      </c>
      <c r="G431">
        <v>0</v>
      </c>
      <c r="H431">
        <v>130</v>
      </c>
      <c r="I431" s="2">
        <v>0.7384615384615385</v>
      </c>
    </row>
    <row r="432" spans="1:9" x14ac:dyDescent="0.3">
      <c r="A432">
        <v>43430885</v>
      </c>
      <c r="B432">
        <v>1</v>
      </c>
      <c r="C432">
        <v>75</v>
      </c>
      <c r="D432">
        <v>22</v>
      </c>
      <c r="E432">
        <v>7</v>
      </c>
      <c r="F432">
        <v>1</v>
      </c>
      <c r="G432">
        <v>0</v>
      </c>
      <c r="H432">
        <v>106</v>
      </c>
      <c r="I432" s="2">
        <v>0.70754716981132071</v>
      </c>
    </row>
    <row r="433" spans="1:9" hidden="1" x14ac:dyDescent="0.3">
      <c r="A433">
        <v>43451936</v>
      </c>
      <c r="B433">
        <v>1</v>
      </c>
      <c r="C433">
        <v>12</v>
      </c>
      <c r="D433">
        <v>22</v>
      </c>
      <c r="E433">
        <v>8</v>
      </c>
      <c r="F433">
        <v>12</v>
      </c>
      <c r="G433">
        <v>7</v>
      </c>
      <c r="H433">
        <v>62</v>
      </c>
      <c r="I433" s="2">
        <v>0.19354838709677419</v>
      </c>
    </row>
    <row r="434" spans="1:9" hidden="1" x14ac:dyDescent="0.3">
      <c r="A434">
        <v>43457671</v>
      </c>
      <c r="B434">
        <v>1</v>
      </c>
      <c r="C434">
        <v>7</v>
      </c>
      <c r="D434">
        <v>4</v>
      </c>
      <c r="E434">
        <v>3</v>
      </c>
      <c r="F434">
        <v>17</v>
      </c>
      <c r="G434">
        <v>42</v>
      </c>
      <c r="H434">
        <v>74</v>
      </c>
      <c r="I434" s="2">
        <v>9.45945945945946E-2</v>
      </c>
    </row>
    <row r="435" spans="1:9" x14ac:dyDescent="0.3">
      <c r="A435">
        <v>43485077</v>
      </c>
      <c r="B435">
        <v>1</v>
      </c>
      <c r="C435">
        <v>96</v>
      </c>
      <c r="D435">
        <v>16</v>
      </c>
      <c r="E435">
        <v>3</v>
      </c>
      <c r="F435">
        <v>1</v>
      </c>
      <c r="G435">
        <v>0</v>
      </c>
      <c r="H435">
        <v>117</v>
      </c>
      <c r="I435" s="2">
        <v>0.82051282051282048</v>
      </c>
    </row>
    <row r="436" spans="1:9" x14ac:dyDescent="0.3">
      <c r="A436">
        <v>43512432</v>
      </c>
      <c r="B436">
        <v>1</v>
      </c>
      <c r="C436">
        <v>117</v>
      </c>
      <c r="D436">
        <v>22</v>
      </c>
      <c r="E436">
        <v>3</v>
      </c>
      <c r="F436">
        <v>1</v>
      </c>
      <c r="G436">
        <v>0</v>
      </c>
      <c r="H436">
        <v>144</v>
      </c>
      <c r="I436" s="2">
        <v>0.8125</v>
      </c>
    </row>
    <row r="437" spans="1:9" x14ac:dyDescent="0.3">
      <c r="A437">
        <v>43539274</v>
      </c>
      <c r="B437">
        <v>1</v>
      </c>
      <c r="C437">
        <v>110</v>
      </c>
      <c r="D437">
        <v>24</v>
      </c>
      <c r="E437">
        <v>4</v>
      </c>
      <c r="F437">
        <v>1</v>
      </c>
      <c r="G437">
        <v>0</v>
      </c>
      <c r="H437">
        <v>140</v>
      </c>
      <c r="I437" s="2">
        <v>0.7857142857142857</v>
      </c>
    </row>
    <row r="438" spans="1:9" x14ac:dyDescent="0.3">
      <c r="A438">
        <v>43566043</v>
      </c>
      <c r="B438">
        <v>1</v>
      </c>
      <c r="C438">
        <v>107</v>
      </c>
      <c r="D438">
        <v>28</v>
      </c>
      <c r="E438">
        <v>3</v>
      </c>
      <c r="F438">
        <v>1</v>
      </c>
      <c r="G438">
        <v>0</v>
      </c>
      <c r="H438">
        <v>140</v>
      </c>
      <c r="I438" s="2">
        <v>0.76428571428571423</v>
      </c>
    </row>
    <row r="439" spans="1:9" x14ac:dyDescent="0.3">
      <c r="A439">
        <v>43593087</v>
      </c>
      <c r="B439">
        <v>1</v>
      </c>
      <c r="C439">
        <v>97</v>
      </c>
      <c r="D439">
        <v>26</v>
      </c>
      <c r="E439">
        <v>0</v>
      </c>
      <c r="F439">
        <v>1</v>
      </c>
      <c r="G439">
        <v>0</v>
      </c>
      <c r="H439">
        <v>125</v>
      </c>
      <c r="I439" s="2">
        <v>0.77600000000000002</v>
      </c>
    </row>
    <row r="440" spans="1:9" x14ac:dyDescent="0.3">
      <c r="A440">
        <v>43614456</v>
      </c>
      <c r="B440">
        <v>1</v>
      </c>
      <c r="C440">
        <v>68</v>
      </c>
      <c r="D440">
        <v>20</v>
      </c>
      <c r="E440">
        <v>2</v>
      </c>
      <c r="F440">
        <v>2</v>
      </c>
      <c r="G440">
        <v>1</v>
      </c>
      <c r="H440">
        <v>94</v>
      </c>
      <c r="I440" s="2">
        <v>0.72340425531914898</v>
      </c>
    </row>
    <row r="441" spans="1:9" x14ac:dyDescent="0.3">
      <c r="A441">
        <v>43674483</v>
      </c>
      <c r="B441">
        <v>1</v>
      </c>
      <c r="C441">
        <v>84</v>
      </c>
      <c r="D441">
        <v>13</v>
      </c>
      <c r="E441">
        <v>3</v>
      </c>
      <c r="F441">
        <v>0</v>
      </c>
      <c r="G441">
        <v>0</v>
      </c>
      <c r="H441">
        <v>101</v>
      </c>
      <c r="I441" s="2">
        <v>0.83168316831683164</v>
      </c>
    </row>
    <row r="442" spans="1:9" x14ac:dyDescent="0.3">
      <c r="A442">
        <v>43701630</v>
      </c>
      <c r="B442">
        <v>1</v>
      </c>
      <c r="C442">
        <v>93</v>
      </c>
      <c r="D442">
        <v>19</v>
      </c>
      <c r="E442">
        <v>3</v>
      </c>
      <c r="F442">
        <v>2</v>
      </c>
      <c r="G442">
        <v>0</v>
      </c>
      <c r="H442">
        <v>118</v>
      </c>
      <c r="I442" s="2">
        <v>0.78813559322033899</v>
      </c>
    </row>
    <row r="443" spans="1:9" x14ac:dyDescent="0.3">
      <c r="A443">
        <v>43729827</v>
      </c>
      <c r="B443">
        <v>1</v>
      </c>
      <c r="C443">
        <v>87</v>
      </c>
      <c r="D443">
        <v>26</v>
      </c>
      <c r="E443">
        <v>3</v>
      </c>
      <c r="F443">
        <v>1</v>
      </c>
      <c r="G443">
        <v>0</v>
      </c>
      <c r="H443">
        <v>118</v>
      </c>
      <c r="I443" s="2">
        <v>0.73728813559322037</v>
      </c>
    </row>
    <row r="444" spans="1:9" x14ac:dyDescent="0.3">
      <c r="A444">
        <v>43756635</v>
      </c>
      <c r="B444">
        <v>1</v>
      </c>
      <c r="C444">
        <v>63</v>
      </c>
      <c r="D444">
        <v>28</v>
      </c>
      <c r="E444">
        <v>5</v>
      </c>
      <c r="F444">
        <v>0</v>
      </c>
      <c r="G444">
        <v>0</v>
      </c>
      <c r="H444">
        <v>97</v>
      </c>
      <c r="I444" s="2">
        <v>0.64948453608247425</v>
      </c>
    </row>
    <row r="445" spans="1:9" x14ac:dyDescent="0.3">
      <c r="A445">
        <v>43783789</v>
      </c>
      <c r="B445">
        <v>1</v>
      </c>
      <c r="C445">
        <v>100</v>
      </c>
      <c r="D445">
        <v>15</v>
      </c>
      <c r="E445">
        <v>0</v>
      </c>
      <c r="F445">
        <v>0</v>
      </c>
      <c r="G445">
        <v>0</v>
      </c>
      <c r="H445">
        <v>116</v>
      </c>
      <c r="I445" s="2">
        <v>0.86206896551724133</v>
      </c>
    </row>
    <row r="446" spans="1:9" x14ac:dyDescent="0.3">
      <c r="A446">
        <v>43811059</v>
      </c>
      <c r="B446">
        <v>1</v>
      </c>
      <c r="C446">
        <v>35</v>
      </c>
      <c r="D446">
        <v>14</v>
      </c>
      <c r="E446">
        <v>3</v>
      </c>
      <c r="F446">
        <v>1</v>
      </c>
      <c r="G446">
        <v>0</v>
      </c>
      <c r="H446">
        <v>54</v>
      </c>
      <c r="I446" s="2">
        <v>0.64814814814814814</v>
      </c>
    </row>
    <row r="447" spans="1:9" x14ac:dyDescent="0.3">
      <c r="A447">
        <v>43862968</v>
      </c>
      <c r="B447">
        <v>1</v>
      </c>
      <c r="C447">
        <v>117</v>
      </c>
      <c r="D447">
        <v>23</v>
      </c>
      <c r="E447">
        <v>1</v>
      </c>
      <c r="F447">
        <v>1</v>
      </c>
      <c r="G447">
        <v>1</v>
      </c>
      <c r="H447">
        <v>144</v>
      </c>
      <c r="I447" s="2">
        <v>0.8125</v>
      </c>
    </row>
    <row r="448" spans="1:9" x14ac:dyDescent="0.3">
      <c r="A448">
        <v>43891958</v>
      </c>
      <c r="B448">
        <v>1</v>
      </c>
      <c r="C448">
        <v>87</v>
      </c>
      <c r="D448">
        <v>30</v>
      </c>
      <c r="E448">
        <v>3</v>
      </c>
      <c r="F448">
        <v>0</v>
      </c>
      <c r="G448">
        <v>0</v>
      </c>
      <c r="H448">
        <v>121</v>
      </c>
      <c r="I448" s="2">
        <v>0.71900826446280997</v>
      </c>
    </row>
    <row r="449" spans="1:9" x14ac:dyDescent="0.3">
      <c r="A449">
        <v>43920615</v>
      </c>
      <c r="B449">
        <v>1</v>
      </c>
      <c r="C449">
        <v>96</v>
      </c>
      <c r="D449">
        <v>27</v>
      </c>
      <c r="E449">
        <v>1</v>
      </c>
      <c r="F449">
        <v>1</v>
      </c>
      <c r="G449">
        <v>0</v>
      </c>
      <c r="H449">
        <v>126</v>
      </c>
      <c r="I449" s="2">
        <v>0.76190476190476186</v>
      </c>
    </row>
    <row r="450" spans="1:9" x14ac:dyDescent="0.3">
      <c r="A450">
        <v>43949404</v>
      </c>
      <c r="B450">
        <v>1</v>
      </c>
      <c r="C450">
        <v>79</v>
      </c>
      <c r="D450">
        <v>26</v>
      </c>
      <c r="E450">
        <v>3</v>
      </c>
      <c r="F450">
        <v>1</v>
      </c>
      <c r="G450">
        <v>0</v>
      </c>
      <c r="H450">
        <v>110</v>
      </c>
      <c r="I450" s="2">
        <v>0.71818181818181814</v>
      </c>
    </row>
    <row r="451" spans="1:9" x14ac:dyDescent="0.3">
      <c r="A451">
        <v>43978801</v>
      </c>
      <c r="B451">
        <v>1</v>
      </c>
      <c r="C451">
        <v>65</v>
      </c>
      <c r="D451">
        <v>19</v>
      </c>
      <c r="E451">
        <v>1</v>
      </c>
      <c r="F451">
        <v>1</v>
      </c>
      <c r="G451">
        <v>0</v>
      </c>
      <c r="H451">
        <v>87</v>
      </c>
      <c r="I451" s="2">
        <v>0.74712643678160917</v>
      </c>
    </row>
    <row r="452" spans="1:9" x14ac:dyDescent="0.3">
      <c r="A452">
        <v>44010401</v>
      </c>
      <c r="B452">
        <v>1</v>
      </c>
      <c r="C452">
        <v>62</v>
      </c>
      <c r="D452">
        <v>36</v>
      </c>
      <c r="E452">
        <v>2</v>
      </c>
      <c r="F452">
        <v>2</v>
      </c>
      <c r="G452">
        <v>0</v>
      </c>
      <c r="H452">
        <v>103</v>
      </c>
      <c r="I452" s="2">
        <v>0.60194174757281549</v>
      </c>
    </row>
    <row r="453" spans="1:9" hidden="1" x14ac:dyDescent="0.3">
      <c r="A453">
        <v>44071893</v>
      </c>
      <c r="B453">
        <v>1</v>
      </c>
      <c r="C453">
        <v>37</v>
      </c>
      <c r="D453">
        <v>27</v>
      </c>
      <c r="E453">
        <v>9</v>
      </c>
      <c r="F453">
        <v>1</v>
      </c>
      <c r="G453">
        <v>2</v>
      </c>
      <c r="H453">
        <v>77</v>
      </c>
      <c r="I453" s="2">
        <v>0.48051948051948051</v>
      </c>
    </row>
    <row r="454" spans="1:9" hidden="1" x14ac:dyDescent="0.3">
      <c r="A454" t="s">
        <v>7</v>
      </c>
      <c r="B454">
        <v>452</v>
      </c>
      <c r="C454">
        <v>7356</v>
      </c>
      <c r="D454">
        <v>5304</v>
      </c>
      <c r="E454">
        <v>14461</v>
      </c>
      <c r="F454">
        <v>25621</v>
      </c>
      <c r="G454">
        <v>34116</v>
      </c>
      <c r="H454">
        <v>87310</v>
      </c>
    </row>
    <row r="455" spans="1:9" hidden="1" x14ac:dyDescent="0.3">
      <c r="A455" t="s">
        <v>10</v>
      </c>
      <c r="B455" s="2">
        <v>5.1769556751803921E-3</v>
      </c>
      <c r="C455" s="2">
        <v>8.4251517581033095E-2</v>
      </c>
      <c r="D455" s="2">
        <v>6.0749055091054861E-2</v>
      </c>
      <c r="E455" s="2">
        <v>0.16562822128049479</v>
      </c>
      <c r="F455" s="2">
        <v>0.2934486313137098</v>
      </c>
      <c r="G455" s="2">
        <v>0.39074561905852706</v>
      </c>
    </row>
  </sheetData>
  <autoFilter ref="A1:I455" xr:uid="{552CCDAB-AC64-453A-844F-69CB99AB9ACB}">
    <filterColumn colId="8">
      <customFilters>
        <customFilter operator="greaterThan" val="0.5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172C-CFC0-44F2-AA31-A35095DC4499}">
  <sheetPr filterMode="1"/>
  <dimension ref="A1:J27"/>
  <sheetViews>
    <sheetView workbookViewId="0">
      <selection activeCell="I25" sqref="I25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4" max="4" width="8.77734375" bestFit="1" customWidth="1"/>
    <col min="5" max="5" width="8.44140625" bestFit="1" customWidth="1"/>
    <col min="6" max="6" width="9.44140625" bestFit="1" customWidth="1"/>
    <col min="7" max="7" width="6.88671875" bestFit="1" customWidth="1"/>
    <col min="8" max="8" width="4.88671875" bestFit="1" customWidth="1"/>
    <col min="9" max="9" width="14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12</v>
      </c>
    </row>
    <row r="2" spans="1:10" x14ac:dyDescent="0.3">
      <c r="A2">
        <v>8200826</v>
      </c>
      <c r="B2">
        <v>1</v>
      </c>
      <c r="C2">
        <v>134</v>
      </c>
      <c r="D2">
        <v>27</v>
      </c>
      <c r="E2">
        <v>33</v>
      </c>
      <c r="F2">
        <v>28</v>
      </c>
      <c r="G2">
        <v>36</v>
      </c>
      <c r="H2">
        <v>259</v>
      </c>
      <c r="I2" s="2">
        <v>0.51737451737451734</v>
      </c>
      <c r="J2" t="e">
        <f>_xlfn.XLOOKUP(A2,'16 Accounts given'!$A$2:$A$17,'16 Accounts given'!$A$2:$A$17)</f>
        <v>#N/A</v>
      </c>
    </row>
    <row r="3" spans="1:10" x14ac:dyDescent="0.3">
      <c r="A3">
        <v>43230061</v>
      </c>
      <c r="B3">
        <v>1</v>
      </c>
      <c r="C3">
        <v>91</v>
      </c>
      <c r="D3">
        <v>33</v>
      </c>
      <c r="E3">
        <v>4</v>
      </c>
      <c r="F3">
        <v>0</v>
      </c>
      <c r="G3">
        <v>1</v>
      </c>
      <c r="H3">
        <v>130</v>
      </c>
      <c r="I3" s="2">
        <v>0.7</v>
      </c>
      <c r="J3" t="e">
        <f>_xlfn.XLOOKUP(A3,'16 Accounts given'!$A$2:$A$17,'16 Accounts given'!$A$2:$A$17)</f>
        <v>#N/A</v>
      </c>
    </row>
    <row r="4" spans="1:10" x14ac:dyDescent="0.3">
      <c r="A4">
        <v>43290314</v>
      </c>
      <c r="B4">
        <v>1</v>
      </c>
      <c r="C4">
        <v>88</v>
      </c>
      <c r="D4">
        <v>34</v>
      </c>
      <c r="E4">
        <v>9</v>
      </c>
      <c r="F4">
        <v>0</v>
      </c>
      <c r="G4">
        <v>1</v>
      </c>
      <c r="H4">
        <v>133</v>
      </c>
      <c r="I4" s="2">
        <v>0.66165413533834583</v>
      </c>
      <c r="J4" t="e">
        <f>_xlfn.XLOOKUP(A4,'16 Accounts given'!$A$2:$A$17,'16 Accounts given'!$A$2:$A$17)</f>
        <v>#N/A</v>
      </c>
    </row>
    <row r="5" spans="1:10" x14ac:dyDescent="0.3">
      <c r="A5">
        <v>43319297</v>
      </c>
      <c r="B5">
        <v>1</v>
      </c>
      <c r="C5">
        <v>63</v>
      </c>
      <c r="D5">
        <v>26</v>
      </c>
      <c r="E5">
        <v>9</v>
      </c>
      <c r="F5">
        <v>2</v>
      </c>
      <c r="G5">
        <v>0</v>
      </c>
      <c r="H5">
        <v>101</v>
      </c>
      <c r="I5" s="2">
        <v>0.62376237623762376</v>
      </c>
      <c r="J5" t="e">
        <f>_xlfn.XLOOKUP(A5,'16 Accounts given'!$A$2:$A$17,'16 Accounts given'!$A$2:$A$17)</f>
        <v>#N/A</v>
      </c>
    </row>
    <row r="6" spans="1:10" x14ac:dyDescent="0.3">
      <c r="A6">
        <v>43346700</v>
      </c>
      <c r="B6">
        <v>1</v>
      </c>
      <c r="C6">
        <v>101</v>
      </c>
      <c r="D6">
        <v>16</v>
      </c>
      <c r="E6">
        <v>7</v>
      </c>
      <c r="F6">
        <v>1</v>
      </c>
      <c r="G6">
        <v>0</v>
      </c>
      <c r="H6">
        <v>126</v>
      </c>
      <c r="I6" s="2">
        <v>0.80158730158730163</v>
      </c>
      <c r="J6" t="e">
        <f>_xlfn.XLOOKUP(A6,'16 Accounts given'!$A$2:$A$17,'16 Accounts given'!$A$2:$A$17)</f>
        <v>#N/A</v>
      </c>
    </row>
    <row r="7" spans="1:10" x14ac:dyDescent="0.3">
      <c r="A7">
        <v>43374604</v>
      </c>
      <c r="B7">
        <v>1</v>
      </c>
      <c r="C7">
        <v>61</v>
      </c>
      <c r="D7">
        <v>15</v>
      </c>
      <c r="E7">
        <v>3</v>
      </c>
      <c r="F7">
        <v>0</v>
      </c>
      <c r="G7">
        <v>0</v>
      </c>
      <c r="H7">
        <v>80</v>
      </c>
      <c r="I7" s="2">
        <v>0.76249999999999996</v>
      </c>
      <c r="J7" t="e">
        <f>_xlfn.XLOOKUP(A7,'16 Accounts given'!$A$2:$A$17,'16 Accounts given'!$A$2:$A$17)</f>
        <v>#N/A</v>
      </c>
    </row>
    <row r="8" spans="1:10" x14ac:dyDescent="0.3">
      <c r="A8">
        <v>43402439</v>
      </c>
      <c r="B8">
        <v>1</v>
      </c>
      <c r="C8">
        <v>96</v>
      </c>
      <c r="D8">
        <v>26</v>
      </c>
      <c r="E8">
        <v>6</v>
      </c>
      <c r="F8">
        <v>1</v>
      </c>
      <c r="G8">
        <v>0</v>
      </c>
      <c r="H8">
        <v>130</v>
      </c>
      <c r="I8" s="2">
        <v>0.7384615384615385</v>
      </c>
      <c r="J8" t="e">
        <f>_xlfn.XLOOKUP(A8,'16 Accounts given'!$A$2:$A$17,'16 Accounts given'!$A$2:$A$17)</f>
        <v>#N/A</v>
      </c>
    </row>
    <row r="9" spans="1:10" x14ac:dyDescent="0.3">
      <c r="A9">
        <v>43430885</v>
      </c>
      <c r="B9">
        <v>1</v>
      </c>
      <c r="C9">
        <v>75</v>
      </c>
      <c r="D9">
        <v>22</v>
      </c>
      <c r="E9">
        <v>7</v>
      </c>
      <c r="F9">
        <v>1</v>
      </c>
      <c r="G9">
        <v>0</v>
      </c>
      <c r="H9">
        <v>106</v>
      </c>
      <c r="I9" s="2">
        <v>0.70754716981132071</v>
      </c>
      <c r="J9" t="e">
        <f>_xlfn.XLOOKUP(A9,'16 Accounts given'!$A$2:$A$17,'16 Accounts given'!$A$2:$A$17)</f>
        <v>#N/A</v>
      </c>
    </row>
    <row r="10" spans="1:10" hidden="1" x14ac:dyDescent="0.3">
      <c r="A10">
        <v>43485077</v>
      </c>
      <c r="B10">
        <v>1</v>
      </c>
      <c r="C10">
        <v>96</v>
      </c>
      <c r="D10">
        <v>16</v>
      </c>
      <c r="E10">
        <v>3</v>
      </c>
      <c r="F10">
        <v>1</v>
      </c>
      <c r="G10">
        <v>0</v>
      </c>
      <c r="H10">
        <v>117</v>
      </c>
      <c r="I10" s="2">
        <v>0.82051282051282048</v>
      </c>
      <c r="J10">
        <f>_xlfn.XLOOKUP(A10,'16 Accounts given'!$A$2:$A$17,'16 Accounts given'!$A$2:$A$17)</f>
        <v>43485077</v>
      </c>
    </row>
    <row r="11" spans="1:10" hidden="1" x14ac:dyDescent="0.3">
      <c r="A11">
        <v>43512432</v>
      </c>
      <c r="B11">
        <v>1</v>
      </c>
      <c r="C11">
        <v>117</v>
      </c>
      <c r="D11">
        <v>22</v>
      </c>
      <c r="E11">
        <v>3</v>
      </c>
      <c r="F11">
        <v>1</v>
      </c>
      <c r="G11">
        <v>0</v>
      </c>
      <c r="H11">
        <v>144</v>
      </c>
      <c r="I11" s="2">
        <v>0.8125</v>
      </c>
      <c r="J11">
        <f>_xlfn.XLOOKUP(A11,'16 Accounts given'!$A$2:$A$17,'16 Accounts given'!$A$2:$A$17)</f>
        <v>43512432</v>
      </c>
    </row>
    <row r="12" spans="1:10" x14ac:dyDescent="0.3">
      <c r="A12">
        <v>43539274</v>
      </c>
      <c r="B12">
        <v>1</v>
      </c>
      <c r="C12">
        <v>110</v>
      </c>
      <c r="D12">
        <v>24</v>
      </c>
      <c r="E12">
        <v>4</v>
      </c>
      <c r="F12">
        <v>1</v>
      </c>
      <c r="G12">
        <v>0</v>
      </c>
      <c r="H12">
        <v>140</v>
      </c>
      <c r="I12" s="2">
        <v>0.7857142857142857</v>
      </c>
      <c r="J12" t="e">
        <f>_xlfn.XLOOKUP(A12,'16 Accounts given'!$A$2:$A$17,'16 Accounts given'!$A$2:$A$17)</f>
        <v>#N/A</v>
      </c>
    </row>
    <row r="13" spans="1:10" x14ac:dyDescent="0.3">
      <c r="A13">
        <v>43566043</v>
      </c>
      <c r="B13">
        <v>1</v>
      </c>
      <c r="C13">
        <v>107</v>
      </c>
      <c r="D13">
        <v>28</v>
      </c>
      <c r="E13">
        <v>3</v>
      </c>
      <c r="F13">
        <v>1</v>
      </c>
      <c r="G13">
        <v>0</v>
      </c>
      <c r="H13">
        <v>140</v>
      </c>
      <c r="I13" s="2">
        <v>0.76428571428571423</v>
      </c>
      <c r="J13" t="e">
        <f>_xlfn.XLOOKUP(A13,'16 Accounts given'!$A$2:$A$17,'16 Accounts given'!$A$2:$A$17)</f>
        <v>#N/A</v>
      </c>
    </row>
    <row r="14" spans="1:10" x14ac:dyDescent="0.3">
      <c r="A14">
        <v>43593087</v>
      </c>
      <c r="B14">
        <v>1</v>
      </c>
      <c r="C14">
        <v>97</v>
      </c>
      <c r="D14">
        <v>26</v>
      </c>
      <c r="E14">
        <v>0</v>
      </c>
      <c r="F14">
        <v>1</v>
      </c>
      <c r="G14">
        <v>0</v>
      </c>
      <c r="H14">
        <v>125</v>
      </c>
      <c r="I14" s="2">
        <v>0.77600000000000002</v>
      </c>
      <c r="J14" t="e">
        <f>_xlfn.XLOOKUP(A14,'16 Accounts given'!$A$2:$A$17,'16 Accounts given'!$A$2:$A$17)</f>
        <v>#N/A</v>
      </c>
    </row>
    <row r="15" spans="1:10" x14ac:dyDescent="0.3">
      <c r="A15">
        <v>43614456</v>
      </c>
      <c r="B15">
        <v>1</v>
      </c>
      <c r="C15">
        <v>68</v>
      </c>
      <c r="D15">
        <v>20</v>
      </c>
      <c r="E15">
        <v>2</v>
      </c>
      <c r="F15">
        <v>2</v>
      </c>
      <c r="G15">
        <v>1</v>
      </c>
      <c r="H15">
        <v>94</v>
      </c>
      <c r="I15" s="2">
        <v>0.72340425531914898</v>
      </c>
      <c r="J15" t="e">
        <f>_xlfn.XLOOKUP(A15,'16 Accounts given'!$A$2:$A$17,'16 Accounts given'!$A$2:$A$17)</f>
        <v>#N/A</v>
      </c>
    </row>
    <row r="16" spans="1:10" x14ac:dyDescent="0.3">
      <c r="A16">
        <v>43674483</v>
      </c>
      <c r="B16">
        <v>1</v>
      </c>
      <c r="C16">
        <v>84</v>
      </c>
      <c r="D16">
        <v>13</v>
      </c>
      <c r="E16">
        <v>3</v>
      </c>
      <c r="F16">
        <v>0</v>
      </c>
      <c r="G16">
        <v>0</v>
      </c>
      <c r="H16">
        <v>101</v>
      </c>
      <c r="I16" s="2">
        <v>0.83168316831683164</v>
      </c>
      <c r="J16" t="e">
        <f>_xlfn.XLOOKUP(A16,'16 Accounts given'!$A$2:$A$17,'16 Accounts given'!$A$2:$A$17)</f>
        <v>#N/A</v>
      </c>
    </row>
    <row r="17" spans="1:10" hidden="1" x14ac:dyDescent="0.3">
      <c r="A17">
        <v>43701630</v>
      </c>
      <c r="B17">
        <v>1</v>
      </c>
      <c r="C17">
        <v>93</v>
      </c>
      <c r="D17">
        <v>19</v>
      </c>
      <c r="E17">
        <v>3</v>
      </c>
      <c r="F17">
        <v>2</v>
      </c>
      <c r="G17">
        <v>0</v>
      </c>
      <c r="H17">
        <v>118</v>
      </c>
      <c r="I17" s="2">
        <v>0.78813559322033899</v>
      </c>
      <c r="J17">
        <f>_xlfn.XLOOKUP(A17,'16 Accounts given'!$A$2:$A$17,'16 Accounts given'!$A$2:$A$17)</f>
        <v>43701630</v>
      </c>
    </row>
    <row r="18" spans="1:10" hidden="1" x14ac:dyDescent="0.3">
      <c r="A18">
        <v>43729827</v>
      </c>
      <c r="B18">
        <v>1</v>
      </c>
      <c r="C18">
        <v>87</v>
      </c>
      <c r="D18">
        <v>26</v>
      </c>
      <c r="E18">
        <v>3</v>
      </c>
      <c r="F18">
        <v>1</v>
      </c>
      <c r="G18">
        <v>0</v>
      </c>
      <c r="H18">
        <v>118</v>
      </c>
      <c r="I18" s="2">
        <v>0.73728813559322037</v>
      </c>
      <c r="J18">
        <f>_xlfn.XLOOKUP(A18,'16 Accounts given'!$A$2:$A$17,'16 Accounts given'!$A$2:$A$17)</f>
        <v>43729827</v>
      </c>
    </row>
    <row r="19" spans="1:10" hidden="1" x14ac:dyDescent="0.3">
      <c r="A19">
        <v>43756635</v>
      </c>
      <c r="B19">
        <v>1</v>
      </c>
      <c r="C19">
        <v>63</v>
      </c>
      <c r="D19">
        <v>28</v>
      </c>
      <c r="E19">
        <v>5</v>
      </c>
      <c r="F19">
        <v>0</v>
      </c>
      <c r="G19">
        <v>0</v>
      </c>
      <c r="H19">
        <v>97</v>
      </c>
      <c r="I19" s="2">
        <v>0.64948453608247425</v>
      </c>
      <c r="J19">
        <f>_xlfn.XLOOKUP(A19,'16 Accounts given'!$A$2:$A$17,'16 Accounts given'!$A$2:$A$17)</f>
        <v>43756635</v>
      </c>
    </row>
    <row r="20" spans="1:10" hidden="1" x14ac:dyDescent="0.3">
      <c r="A20">
        <v>43783789</v>
      </c>
      <c r="B20">
        <v>1</v>
      </c>
      <c r="C20">
        <v>100</v>
      </c>
      <c r="D20">
        <v>15</v>
      </c>
      <c r="E20">
        <v>0</v>
      </c>
      <c r="F20">
        <v>0</v>
      </c>
      <c r="G20">
        <v>0</v>
      </c>
      <c r="H20">
        <v>116</v>
      </c>
      <c r="I20" s="2">
        <v>0.86206896551724133</v>
      </c>
      <c r="J20">
        <f>_xlfn.XLOOKUP(A20,'16 Accounts given'!$A$2:$A$17,'16 Accounts given'!$A$2:$A$17)</f>
        <v>43783789</v>
      </c>
    </row>
    <row r="21" spans="1:10" hidden="1" x14ac:dyDescent="0.3">
      <c r="A21">
        <v>43811059</v>
      </c>
      <c r="B21">
        <v>1</v>
      </c>
      <c r="C21">
        <v>35</v>
      </c>
      <c r="D21">
        <v>14</v>
      </c>
      <c r="E21">
        <v>3</v>
      </c>
      <c r="F21">
        <v>1</v>
      </c>
      <c r="G21">
        <v>0</v>
      </c>
      <c r="H21">
        <v>54</v>
      </c>
      <c r="I21" s="2">
        <v>0.64814814814814814</v>
      </c>
      <c r="J21">
        <f>_xlfn.XLOOKUP(A21,'16 Accounts given'!$A$2:$A$17,'16 Accounts given'!$A$2:$A$17)</f>
        <v>43811059</v>
      </c>
    </row>
    <row r="22" spans="1:10" x14ac:dyDescent="0.3">
      <c r="A22">
        <v>43862968</v>
      </c>
      <c r="B22">
        <v>1</v>
      </c>
      <c r="C22">
        <v>117</v>
      </c>
      <c r="D22">
        <v>23</v>
      </c>
      <c r="E22">
        <v>1</v>
      </c>
      <c r="F22">
        <v>1</v>
      </c>
      <c r="G22">
        <v>1</v>
      </c>
      <c r="H22">
        <v>144</v>
      </c>
      <c r="I22" s="2">
        <v>0.8125</v>
      </c>
      <c r="J22" t="e">
        <f>_xlfn.XLOOKUP(A22,'16 Accounts given'!$A$2:$A$17,'16 Accounts given'!$A$2:$A$17)</f>
        <v>#N/A</v>
      </c>
    </row>
    <row r="23" spans="1:10" x14ac:dyDescent="0.3">
      <c r="A23">
        <v>43891958</v>
      </c>
      <c r="B23">
        <v>1</v>
      </c>
      <c r="C23">
        <v>87</v>
      </c>
      <c r="D23">
        <v>30</v>
      </c>
      <c r="E23">
        <v>3</v>
      </c>
      <c r="F23">
        <v>0</v>
      </c>
      <c r="G23">
        <v>0</v>
      </c>
      <c r="H23">
        <v>121</v>
      </c>
      <c r="I23" s="2">
        <v>0.71900826446280997</v>
      </c>
      <c r="J23" t="e">
        <f>_xlfn.XLOOKUP(A23,'16 Accounts given'!$A$2:$A$17,'16 Accounts given'!$A$2:$A$17)</f>
        <v>#N/A</v>
      </c>
    </row>
    <row r="24" spans="1:10" x14ac:dyDescent="0.3">
      <c r="A24">
        <v>43920615</v>
      </c>
      <c r="B24">
        <v>1</v>
      </c>
      <c r="C24">
        <v>96</v>
      </c>
      <c r="D24">
        <v>27</v>
      </c>
      <c r="E24">
        <v>1</v>
      </c>
      <c r="F24">
        <v>1</v>
      </c>
      <c r="G24">
        <v>0</v>
      </c>
      <c r="H24">
        <v>126</v>
      </c>
      <c r="I24" s="2">
        <v>0.76190476190476186</v>
      </c>
      <c r="J24" t="e">
        <f>_xlfn.XLOOKUP(A24,'16 Accounts given'!$A$2:$A$17,'16 Accounts given'!$A$2:$A$17)</f>
        <v>#N/A</v>
      </c>
    </row>
    <row r="25" spans="1:10" x14ac:dyDescent="0.3">
      <c r="A25">
        <v>43949404</v>
      </c>
      <c r="B25">
        <v>1</v>
      </c>
      <c r="C25">
        <v>79</v>
      </c>
      <c r="D25">
        <v>26</v>
      </c>
      <c r="E25">
        <v>3</v>
      </c>
      <c r="F25">
        <v>1</v>
      </c>
      <c r="G25">
        <v>0</v>
      </c>
      <c r="H25">
        <v>110</v>
      </c>
      <c r="I25" s="2">
        <v>0.71818181818181814</v>
      </c>
      <c r="J25" t="e">
        <f>_xlfn.XLOOKUP(A25,'16 Accounts given'!$A$2:$A$17,'16 Accounts given'!$A$2:$A$17)</f>
        <v>#N/A</v>
      </c>
    </row>
    <row r="26" spans="1:10" x14ac:dyDescent="0.3">
      <c r="A26">
        <v>43978801</v>
      </c>
      <c r="B26">
        <v>1</v>
      </c>
      <c r="C26">
        <v>65</v>
      </c>
      <c r="D26">
        <v>19</v>
      </c>
      <c r="E26">
        <v>1</v>
      </c>
      <c r="F26">
        <v>1</v>
      </c>
      <c r="G26">
        <v>0</v>
      </c>
      <c r="H26">
        <v>87</v>
      </c>
      <c r="I26" s="2">
        <v>0.74712643678160917</v>
      </c>
      <c r="J26" t="e">
        <f>_xlfn.XLOOKUP(A26,'16 Accounts given'!$A$2:$A$17,'16 Accounts given'!$A$2:$A$17)</f>
        <v>#N/A</v>
      </c>
    </row>
    <row r="27" spans="1:10" x14ac:dyDescent="0.3">
      <c r="A27">
        <v>44010401</v>
      </c>
      <c r="B27">
        <v>1</v>
      </c>
      <c r="C27">
        <v>62</v>
      </c>
      <c r="D27">
        <v>36</v>
      </c>
      <c r="E27">
        <v>2</v>
      </c>
      <c r="F27">
        <v>2</v>
      </c>
      <c r="G27">
        <v>0</v>
      </c>
      <c r="H27">
        <v>103</v>
      </c>
      <c r="I27" s="2">
        <v>0.60194174757281549</v>
      </c>
      <c r="J27" t="e">
        <f>_xlfn.XLOOKUP(A27,'16 Accounts given'!$A$2:$A$17,'16 Accounts given'!$A$2:$A$17)</f>
        <v>#N/A</v>
      </c>
    </row>
  </sheetData>
  <autoFilter ref="A1:J27" xr:uid="{3616172C-CFC0-44F2-AA31-A35095DC4499}">
    <filterColumn colId="9">
      <filters>
        <filter val="#N/A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15C6-6BB2-4D82-9526-2FC57F5EA112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627E-AA06-4760-B4E8-1FE5600D753D}">
  <dimension ref="A1:A17"/>
  <sheetViews>
    <sheetView workbookViewId="0">
      <selection activeCell="G9" sqref="G9"/>
    </sheetView>
  </sheetViews>
  <sheetFormatPr defaultRowHeight="14.4" x14ac:dyDescent="0.3"/>
  <sheetData>
    <row r="1" spans="1:1" x14ac:dyDescent="0.3">
      <c r="A1" s="3" t="s">
        <v>11</v>
      </c>
    </row>
    <row r="2" spans="1:1" x14ac:dyDescent="0.3">
      <c r="A2" s="4">
        <v>42814075</v>
      </c>
    </row>
    <row r="3" spans="1:1" x14ac:dyDescent="0.3">
      <c r="A3" s="4">
        <v>42787717</v>
      </c>
    </row>
    <row r="4" spans="1:1" x14ac:dyDescent="0.3">
      <c r="A4" s="4">
        <v>42459206</v>
      </c>
    </row>
    <row r="5" spans="1:1" x14ac:dyDescent="0.3">
      <c r="A5" s="4">
        <v>42758642</v>
      </c>
    </row>
    <row r="6" spans="1:1" x14ac:dyDescent="0.3">
      <c r="A6" s="4">
        <v>42598944</v>
      </c>
    </row>
    <row r="7" spans="1:1" x14ac:dyDescent="0.3">
      <c r="A7" s="4">
        <v>43376946</v>
      </c>
    </row>
    <row r="8" spans="1:1" x14ac:dyDescent="0.3">
      <c r="A8" s="4">
        <v>43485077</v>
      </c>
    </row>
    <row r="9" spans="1:1" x14ac:dyDescent="0.3">
      <c r="A9" s="4">
        <v>43512432</v>
      </c>
    </row>
    <row r="10" spans="1:1" x14ac:dyDescent="0.3">
      <c r="A10" s="4">
        <v>43701630</v>
      </c>
    </row>
    <row r="11" spans="1:1" x14ac:dyDescent="0.3">
      <c r="A11" s="4">
        <v>43729827</v>
      </c>
    </row>
    <row r="12" spans="1:1" x14ac:dyDescent="0.3">
      <c r="A12" s="4">
        <v>13373294</v>
      </c>
    </row>
    <row r="13" spans="1:1" x14ac:dyDescent="0.3">
      <c r="A13" s="4">
        <v>23938356</v>
      </c>
    </row>
    <row r="14" spans="1:1" x14ac:dyDescent="0.3">
      <c r="A14" s="4">
        <v>43756635</v>
      </c>
    </row>
    <row r="15" spans="1:1" x14ac:dyDescent="0.3">
      <c r="A15" s="4">
        <v>43740668</v>
      </c>
    </row>
    <row r="16" spans="1:1" x14ac:dyDescent="0.3">
      <c r="A16" s="4">
        <v>43783789</v>
      </c>
    </row>
    <row r="17" spans="1:1" x14ac:dyDescent="0.3">
      <c r="A17" s="4">
        <v>43811059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E25E-B4FC-4917-8A74-45B04404B799}">
  <dimension ref="A1:I24"/>
  <sheetViews>
    <sheetView workbookViewId="0">
      <selection activeCell="L14" sqref="L14"/>
    </sheetView>
  </sheetViews>
  <sheetFormatPr defaultRowHeight="14.4" x14ac:dyDescent="0.3"/>
  <cols>
    <col min="9" max="9" width="14.21875" bestFit="1" customWidth="1"/>
    <col min="19" max="19" width="14.2187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3">
      <c r="A2" s="5">
        <v>32318884</v>
      </c>
      <c r="B2" s="5">
        <v>1</v>
      </c>
      <c r="C2" s="5">
        <v>8</v>
      </c>
      <c r="D2" s="5">
        <v>2</v>
      </c>
      <c r="E2" s="5">
        <v>0</v>
      </c>
      <c r="F2" s="5">
        <v>0</v>
      </c>
      <c r="G2" s="5">
        <v>3</v>
      </c>
      <c r="H2" s="5">
        <v>14</v>
      </c>
      <c r="I2" s="7">
        <v>0.5714285714285714</v>
      </c>
    </row>
    <row r="3" spans="1:9" x14ac:dyDescent="0.3">
      <c r="A3" s="5">
        <v>42372845</v>
      </c>
      <c r="B3" s="5">
        <v>1</v>
      </c>
      <c r="C3" s="5">
        <v>19</v>
      </c>
      <c r="D3" s="5">
        <v>10</v>
      </c>
      <c r="E3" s="5">
        <v>7</v>
      </c>
      <c r="F3" s="5">
        <v>0</v>
      </c>
      <c r="G3" s="5">
        <v>0</v>
      </c>
      <c r="H3" s="5">
        <v>37</v>
      </c>
      <c r="I3" s="7">
        <v>0.51351351351351349</v>
      </c>
    </row>
    <row r="4" spans="1:9" x14ac:dyDescent="0.3">
      <c r="A4" s="6">
        <v>42381392</v>
      </c>
      <c r="B4" s="5">
        <v>1</v>
      </c>
      <c r="C4" s="5">
        <v>86</v>
      </c>
      <c r="D4" s="5">
        <v>21</v>
      </c>
      <c r="E4" s="5">
        <v>6</v>
      </c>
      <c r="F4" s="5">
        <v>0</v>
      </c>
      <c r="G4" s="5">
        <v>1</v>
      </c>
      <c r="H4" s="5">
        <v>115</v>
      </c>
      <c r="I4" s="7">
        <v>0.74782608695652175</v>
      </c>
    </row>
    <row r="5" spans="1:9" x14ac:dyDescent="0.3">
      <c r="A5" s="5">
        <v>42406507</v>
      </c>
      <c r="B5" s="5">
        <v>1</v>
      </c>
      <c r="C5" s="5">
        <v>184</v>
      </c>
      <c r="D5" s="5">
        <v>46</v>
      </c>
      <c r="E5" s="5">
        <v>27</v>
      </c>
      <c r="F5" s="5">
        <v>1</v>
      </c>
      <c r="G5" s="5">
        <v>3</v>
      </c>
      <c r="H5" s="5">
        <v>262</v>
      </c>
      <c r="I5" s="7">
        <v>0.70229007633587781</v>
      </c>
    </row>
    <row r="6" spans="1:9" x14ac:dyDescent="0.3">
      <c r="A6" s="5">
        <v>42426592</v>
      </c>
      <c r="B6" s="5">
        <v>1</v>
      </c>
      <c r="C6" s="5">
        <v>128</v>
      </c>
      <c r="D6" s="5">
        <v>54</v>
      </c>
      <c r="E6" s="5">
        <v>19</v>
      </c>
      <c r="F6" s="5">
        <v>1</v>
      </c>
      <c r="G6" s="5">
        <v>1</v>
      </c>
      <c r="H6" s="5">
        <v>204</v>
      </c>
      <c r="I6" s="7">
        <v>0.62745098039215685</v>
      </c>
    </row>
    <row r="7" spans="1:9" x14ac:dyDescent="0.3">
      <c r="A7" s="5">
        <v>42426641</v>
      </c>
      <c r="B7" s="5">
        <v>1</v>
      </c>
      <c r="C7" s="5">
        <v>178</v>
      </c>
      <c r="D7" s="5">
        <v>25</v>
      </c>
      <c r="E7" s="5">
        <v>8</v>
      </c>
      <c r="F7" s="5">
        <v>2</v>
      </c>
      <c r="G7" s="5">
        <v>1</v>
      </c>
      <c r="H7" s="5">
        <v>215</v>
      </c>
      <c r="I7" s="7">
        <v>0.82790697674418601</v>
      </c>
    </row>
    <row r="8" spans="1:9" x14ac:dyDescent="0.3">
      <c r="A8" s="5">
        <v>42458992</v>
      </c>
      <c r="B8" s="5">
        <v>1</v>
      </c>
      <c r="C8" s="5">
        <v>22</v>
      </c>
      <c r="D8" s="5">
        <v>2</v>
      </c>
      <c r="E8" s="5">
        <v>1</v>
      </c>
      <c r="F8" s="5">
        <v>0</v>
      </c>
      <c r="G8" s="5">
        <v>0</v>
      </c>
      <c r="H8" s="5">
        <v>26</v>
      </c>
      <c r="I8" s="7">
        <v>0.84615384615384615</v>
      </c>
    </row>
    <row r="9" spans="1:9" x14ac:dyDescent="0.3">
      <c r="A9" s="5">
        <v>42459041</v>
      </c>
      <c r="B9" s="5">
        <v>1</v>
      </c>
      <c r="C9" s="5">
        <v>12</v>
      </c>
      <c r="D9" s="5">
        <v>8</v>
      </c>
      <c r="E9" s="5">
        <v>2</v>
      </c>
      <c r="F9" s="5">
        <v>0</v>
      </c>
      <c r="G9" s="5">
        <v>0</v>
      </c>
      <c r="H9" s="5">
        <v>23</v>
      </c>
      <c r="I9" s="7">
        <v>0.52173913043478259</v>
      </c>
    </row>
    <row r="10" spans="1:9" x14ac:dyDescent="0.3">
      <c r="A10" s="5">
        <v>42459099</v>
      </c>
      <c r="B10" s="5">
        <v>1</v>
      </c>
      <c r="C10" s="5">
        <v>47</v>
      </c>
      <c r="D10" s="5">
        <v>0</v>
      </c>
      <c r="E10" s="5">
        <v>0</v>
      </c>
      <c r="F10" s="5">
        <v>0</v>
      </c>
      <c r="G10" s="5">
        <v>1</v>
      </c>
      <c r="H10" s="5">
        <v>49</v>
      </c>
      <c r="I10" s="7">
        <v>0.95918367346938771</v>
      </c>
    </row>
    <row r="11" spans="1:9" x14ac:dyDescent="0.3">
      <c r="A11" s="5">
        <v>42459241</v>
      </c>
      <c r="B11" s="5">
        <v>1</v>
      </c>
      <c r="C11" s="5">
        <v>37</v>
      </c>
      <c r="D11" s="5">
        <v>22</v>
      </c>
      <c r="E11" s="5">
        <v>6</v>
      </c>
      <c r="F11" s="5">
        <v>0</v>
      </c>
      <c r="G11" s="5">
        <v>2</v>
      </c>
      <c r="H11" s="5">
        <v>68</v>
      </c>
      <c r="I11" s="7">
        <v>0.54411764705882348</v>
      </c>
    </row>
    <row r="12" spans="1:9" x14ac:dyDescent="0.3">
      <c r="A12" s="6">
        <v>42459298</v>
      </c>
      <c r="B12" s="5">
        <v>1</v>
      </c>
      <c r="C12" s="5">
        <v>20</v>
      </c>
      <c r="D12" s="5">
        <v>3</v>
      </c>
      <c r="E12" s="5">
        <v>1</v>
      </c>
      <c r="F12" s="5">
        <v>0</v>
      </c>
      <c r="G12" s="5">
        <v>1</v>
      </c>
      <c r="H12" s="5">
        <v>26</v>
      </c>
      <c r="I12" s="7">
        <v>0.76923076923076927</v>
      </c>
    </row>
    <row r="13" spans="1:9" x14ac:dyDescent="0.3">
      <c r="A13" s="5">
        <v>42463024</v>
      </c>
      <c r="B13" s="5">
        <v>1</v>
      </c>
      <c r="C13" s="5">
        <v>301</v>
      </c>
      <c r="D13" s="5">
        <v>31</v>
      </c>
      <c r="E13" s="5">
        <v>11</v>
      </c>
      <c r="F13" s="5">
        <v>4</v>
      </c>
      <c r="G13" s="5">
        <v>5</v>
      </c>
      <c r="H13" s="5">
        <v>353</v>
      </c>
      <c r="I13" s="7">
        <v>0.85269121813031157</v>
      </c>
    </row>
    <row r="14" spans="1:9" x14ac:dyDescent="0.3">
      <c r="A14" s="5">
        <v>42463063</v>
      </c>
      <c r="B14" s="5">
        <v>1</v>
      </c>
      <c r="C14" s="5">
        <v>209</v>
      </c>
      <c r="D14" s="5">
        <v>8</v>
      </c>
      <c r="E14" s="5">
        <v>7</v>
      </c>
      <c r="F14" s="5">
        <v>1</v>
      </c>
      <c r="G14" s="5">
        <v>2</v>
      </c>
      <c r="H14" s="5">
        <v>228</v>
      </c>
      <c r="I14" s="7">
        <v>0.91666666666666663</v>
      </c>
    </row>
    <row r="15" spans="1:9" x14ac:dyDescent="0.3">
      <c r="A15" s="5">
        <v>42705635</v>
      </c>
      <c r="B15" s="5">
        <v>1</v>
      </c>
      <c r="C15" s="5">
        <v>110</v>
      </c>
      <c r="D15" s="5">
        <v>60</v>
      </c>
      <c r="E15" s="5">
        <v>21</v>
      </c>
      <c r="F15" s="5">
        <v>2</v>
      </c>
      <c r="G15" s="5">
        <v>1</v>
      </c>
      <c r="H15" s="5">
        <v>195</v>
      </c>
      <c r="I15" s="7">
        <v>0.5641025641025641</v>
      </c>
    </row>
    <row r="16" spans="1:9" x14ac:dyDescent="0.3">
      <c r="A16" s="5">
        <v>42731028</v>
      </c>
      <c r="B16" s="5">
        <v>1</v>
      </c>
      <c r="C16" s="5">
        <v>167</v>
      </c>
      <c r="D16" s="5">
        <v>20</v>
      </c>
      <c r="E16" s="5">
        <v>12</v>
      </c>
      <c r="F16" s="5">
        <v>1</v>
      </c>
      <c r="G16" s="5">
        <v>0</v>
      </c>
      <c r="H16" s="5">
        <v>201</v>
      </c>
      <c r="I16" s="7">
        <v>0.8308457711442786</v>
      </c>
    </row>
    <row r="17" spans="1:9" x14ac:dyDescent="0.3">
      <c r="A17" s="5">
        <v>42913719</v>
      </c>
      <c r="B17" s="5">
        <v>1</v>
      </c>
      <c r="C17" s="5">
        <v>148</v>
      </c>
      <c r="D17" s="5">
        <v>36</v>
      </c>
      <c r="E17" s="5">
        <v>10</v>
      </c>
      <c r="F17" s="5">
        <v>0</v>
      </c>
      <c r="G17" s="5">
        <v>1</v>
      </c>
      <c r="H17" s="5">
        <v>196</v>
      </c>
      <c r="I17" s="7">
        <v>0.75510204081632648</v>
      </c>
    </row>
    <row r="18" spans="1:9" x14ac:dyDescent="0.3">
      <c r="A18" s="5">
        <v>42971568</v>
      </c>
      <c r="B18" s="5">
        <v>1</v>
      </c>
      <c r="C18" s="5">
        <v>102</v>
      </c>
      <c r="D18" s="5">
        <v>23</v>
      </c>
      <c r="E18" s="5">
        <v>6</v>
      </c>
      <c r="F18" s="5">
        <v>0</v>
      </c>
      <c r="G18" s="5">
        <v>0</v>
      </c>
      <c r="H18" s="5">
        <v>132</v>
      </c>
      <c r="I18" s="7">
        <v>0.77272727272727271</v>
      </c>
    </row>
    <row r="19" spans="1:9" x14ac:dyDescent="0.3">
      <c r="A19" s="5">
        <v>42997602</v>
      </c>
      <c r="B19" s="5">
        <v>1</v>
      </c>
      <c r="C19" s="5">
        <v>148</v>
      </c>
      <c r="D19" s="5">
        <v>33</v>
      </c>
      <c r="E19" s="5">
        <v>13</v>
      </c>
      <c r="F19" s="5">
        <v>2</v>
      </c>
      <c r="G19" s="5">
        <v>0</v>
      </c>
      <c r="H19" s="5">
        <v>197</v>
      </c>
      <c r="I19" s="7">
        <v>0.75126903553299496</v>
      </c>
    </row>
    <row r="20" spans="1:9" x14ac:dyDescent="0.3">
      <c r="A20" s="5">
        <v>43022614</v>
      </c>
      <c r="B20" s="5">
        <v>1</v>
      </c>
      <c r="C20" s="5">
        <v>114</v>
      </c>
      <c r="D20" s="5">
        <v>31</v>
      </c>
      <c r="E20" s="5">
        <v>18</v>
      </c>
      <c r="F20" s="5">
        <v>0</v>
      </c>
      <c r="G20" s="5">
        <v>1</v>
      </c>
      <c r="H20" s="5">
        <v>165</v>
      </c>
      <c r="I20" s="7">
        <v>0.69090909090909092</v>
      </c>
    </row>
    <row r="21" spans="1:9" x14ac:dyDescent="0.3">
      <c r="A21" s="5">
        <v>43081554</v>
      </c>
      <c r="B21" s="5">
        <v>1</v>
      </c>
      <c r="C21" s="5">
        <v>73</v>
      </c>
      <c r="D21" s="5">
        <v>40</v>
      </c>
      <c r="E21" s="5">
        <v>20</v>
      </c>
      <c r="F21" s="5">
        <v>0</v>
      </c>
      <c r="G21" s="5">
        <v>0</v>
      </c>
      <c r="H21" s="5">
        <v>134</v>
      </c>
      <c r="I21" s="7">
        <v>0.54477611940298509</v>
      </c>
    </row>
    <row r="22" spans="1:9" x14ac:dyDescent="0.3">
      <c r="A22" s="5">
        <v>43110506</v>
      </c>
      <c r="B22" s="5">
        <v>1</v>
      </c>
      <c r="C22" s="5">
        <v>86</v>
      </c>
      <c r="D22" s="5">
        <v>22</v>
      </c>
      <c r="E22" s="5">
        <v>8</v>
      </c>
      <c r="F22" s="5">
        <v>2</v>
      </c>
      <c r="G22" s="5">
        <v>0</v>
      </c>
      <c r="H22" s="5">
        <v>119</v>
      </c>
      <c r="I22" s="7">
        <v>0.72268907563025209</v>
      </c>
    </row>
    <row r="23" spans="1:9" x14ac:dyDescent="0.3">
      <c r="A23" s="5">
        <v>43138108</v>
      </c>
      <c r="B23" s="5">
        <v>1</v>
      </c>
      <c r="C23" s="5">
        <v>102</v>
      </c>
      <c r="D23" s="5">
        <v>38</v>
      </c>
      <c r="E23" s="5">
        <v>12</v>
      </c>
      <c r="F23" s="5">
        <v>2</v>
      </c>
      <c r="G23" s="5">
        <v>0</v>
      </c>
      <c r="H23" s="5">
        <v>155</v>
      </c>
      <c r="I23" s="7">
        <v>0.65806451612903227</v>
      </c>
    </row>
    <row r="24" spans="1:9" x14ac:dyDescent="0.3">
      <c r="A24" s="5">
        <v>43166702</v>
      </c>
      <c r="B24" s="5">
        <v>1</v>
      </c>
      <c r="C24" s="5">
        <v>107</v>
      </c>
      <c r="D24" s="5">
        <v>47</v>
      </c>
      <c r="E24" s="5">
        <v>11</v>
      </c>
      <c r="F24" s="5">
        <v>2</v>
      </c>
      <c r="G24" s="5">
        <v>0</v>
      </c>
      <c r="H24" s="5">
        <v>168</v>
      </c>
      <c r="I24" s="7">
        <v>0.63690476190476186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E93B-10DA-4DBC-9E7F-6281E3B58B6A}">
  <dimension ref="A1:I20"/>
  <sheetViews>
    <sheetView workbookViewId="0">
      <selection activeCell="N11" sqref="N11"/>
    </sheetView>
  </sheetViews>
  <sheetFormatPr defaultRowHeight="14.4" x14ac:dyDescent="0.3"/>
  <cols>
    <col min="9" max="9" width="14.2187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3">
      <c r="A2" s="5">
        <v>8200826</v>
      </c>
      <c r="B2" s="5">
        <v>1</v>
      </c>
      <c r="C2" s="5">
        <v>134</v>
      </c>
      <c r="D2" s="5">
        <v>27</v>
      </c>
      <c r="E2" s="5">
        <v>33</v>
      </c>
      <c r="F2" s="5">
        <v>28</v>
      </c>
      <c r="G2" s="5">
        <v>36</v>
      </c>
      <c r="H2" s="5">
        <v>259</v>
      </c>
      <c r="I2" s="7">
        <v>0.51737451737451734</v>
      </c>
    </row>
    <row r="3" spans="1:9" x14ac:dyDescent="0.3">
      <c r="A3" s="5">
        <v>43230061</v>
      </c>
      <c r="B3" s="5">
        <v>1</v>
      </c>
      <c r="C3" s="5">
        <v>91</v>
      </c>
      <c r="D3" s="5">
        <v>33</v>
      </c>
      <c r="E3" s="5">
        <v>4</v>
      </c>
      <c r="F3" s="5">
        <v>0</v>
      </c>
      <c r="G3" s="5">
        <v>1</v>
      </c>
      <c r="H3" s="5">
        <v>130</v>
      </c>
      <c r="I3" s="7">
        <v>0.7</v>
      </c>
    </row>
    <row r="4" spans="1:9" x14ac:dyDescent="0.3">
      <c r="A4" s="5">
        <v>43290314</v>
      </c>
      <c r="B4" s="5">
        <v>1</v>
      </c>
      <c r="C4" s="5">
        <v>88</v>
      </c>
      <c r="D4" s="5">
        <v>34</v>
      </c>
      <c r="E4" s="5">
        <v>9</v>
      </c>
      <c r="F4" s="5">
        <v>0</v>
      </c>
      <c r="G4" s="5">
        <v>1</v>
      </c>
      <c r="H4" s="5">
        <v>133</v>
      </c>
      <c r="I4" s="7">
        <v>0.66165413533834583</v>
      </c>
    </row>
    <row r="5" spans="1:9" x14ac:dyDescent="0.3">
      <c r="A5" s="5">
        <v>43319297</v>
      </c>
      <c r="B5" s="5">
        <v>1</v>
      </c>
      <c r="C5" s="5">
        <v>63</v>
      </c>
      <c r="D5" s="5">
        <v>26</v>
      </c>
      <c r="E5" s="5">
        <v>9</v>
      </c>
      <c r="F5" s="5">
        <v>2</v>
      </c>
      <c r="G5" s="5">
        <v>0</v>
      </c>
      <c r="H5" s="5">
        <v>101</v>
      </c>
      <c r="I5" s="7">
        <v>0.62376237623762376</v>
      </c>
    </row>
    <row r="6" spans="1:9" x14ac:dyDescent="0.3">
      <c r="A6" s="5">
        <v>43346700</v>
      </c>
      <c r="B6" s="5">
        <v>1</v>
      </c>
      <c r="C6" s="5">
        <v>101</v>
      </c>
      <c r="D6" s="5">
        <v>16</v>
      </c>
      <c r="E6" s="5">
        <v>7</v>
      </c>
      <c r="F6" s="5">
        <v>1</v>
      </c>
      <c r="G6" s="5">
        <v>0</v>
      </c>
      <c r="H6" s="5">
        <v>126</v>
      </c>
      <c r="I6" s="7">
        <v>0.80158730158730163</v>
      </c>
    </row>
    <row r="7" spans="1:9" x14ac:dyDescent="0.3">
      <c r="A7" s="5">
        <v>43374604</v>
      </c>
      <c r="B7" s="5">
        <v>1</v>
      </c>
      <c r="C7" s="5">
        <v>61</v>
      </c>
      <c r="D7" s="5">
        <v>15</v>
      </c>
      <c r="E7" s="5">
        <v>3</v>
      </c>
      <c r="F7" s="5">
        <v>0</v>
      </c>
      <c r="G7" s="5">
        <v>0</v>
      </c>
      <c r="H7" s="5">
        <v>80</v>
      </c>
      <c r="I7" s="7">
        <v>0.76249999999999996</v>
      </c>
    </row>
    <row r="8" spans="1:9" x14ac:dyDescent="0.3">
      <c r="A8" s="5">
        <v>43402439</v>
      </c>
      <c r="B8" s="5">
        <v>1</v>
      </c>
      <c r="C8" s="5">
        <v>96</v>
      </c>
      <c r="D8" s="5">
        <v>26</v>
      </c>
      <c r="E8" s="5">
        <v>6</v>
      </c>
      <c r="F8" s="5">
        <v>1</v>
      </c>
      <c r="G8" s="5">
        <v>0</v>
      </c>
      <c r="H8" s="5">
        <v>130</v>
      </c>
      <c r="I8" s="7">
        <v>0.7384615384615385</v>
      </c>
    </row>
    <row r="9" spans="1:9" x14ac:dyDescent="0.3">
      <c r="A9" s="5">
        <v>43430885</v>
      </c>
      <c r="B9" s="5">
        <v>1</v>
      </c>
      <c r="C9" s="5">
        <v>75</v>
      </c>
      <c r="D9" s="5">
        <v>22</v>
      </c>
      <c r="E9" s="5">
        <v>7</v>
      </c>
      <c r="F9" s="5">
        <v>1</v>
      </c>
      <c r="G9" s="5">
        <v>0</v>
      </c>
      <c r="H9" s="5">
        <v>106</v>
      </c>
      <c r="I9" s="7">
        <v>0.70754716981132071</v>
      </c>
    </row>
    <row r="10" spans="1:9" x14ac:dyDescent="0.3">
      <c r="A10" s="5">
        <v>43539274</v>
      </c>
      <c r="B10" s="5">
        <v>1</v>
      </c>
      <c r="C10" s="5">
        <v>110</v>
      </c>
      <c r="D10" s="5">
        <v>24</v>
      </c>
      <c r="E10" s="5">
        <v>4</v>
      </c>
      <c r="F10" s="5">
        <v>1</v>
      </c>
      <c r="G10" s="5">
        <v>0</v>
      </c>
      <c r="H10" s="5">
        <v>140</v>
      </c>
      <c r="I10" s="7">
        <v>0.7857142857142857</v>
      </c>
    </row>
    <row r="11" spans="1:9" x14ac:dyDescent="0.3">
      <c r="A11" s="5">
        <v>43566043</v>
      </c>
      <c r="B11" s="5">
        <v>1</v>
      </c>
      <c r="C11" s="5">
        <v>107</v>
      </c>
      <c r="D11" s="5">
        <v>28</v>
      </c>
      <c r="E11" s="5">
        <v>3</v>
      </c>
      <c r="F11" s="5">
        <v>1</v>
      </c>
      <c r="G11" s="5">
        <v>0</v>
      </c>
      <c r="H11" s="5">
        <v>140</v>
      </c>
      <c r="I11" s="7">
        <v>0.76428571428571423</v>
      </c>
    </row>
    <row r="12" spans="1:9" x14ac:dyDescent="0.3">
      <c r="A12" s="5">
        <v>43593087</v>
      </c>
      <c r="B12" s="5">
        <v>1</v>
      </c>
      <c r="C12" s="5">
        <v>97</v>
      </c>
      <c r="D12" s="5">
        <v>26</v>
      </c>
      <c r="E12" s="5">
        <v>0</v>
      </c>
      <c r="F12" s="5">
        <v>1</v>
      </c>
      <c r="G12" s="5">
        <v>0</v>
      </c>
      <c r="H12" s="5">
        <v>125</v>
      </c>
      <c r="I12" s="7">
        <v>0.77600000000000002</v>
      </c>
    </row>
    <row r="13" spans="1:9" x14ac:dyDescent="0.3">
      <c r="A13" s="5">
        <v>43614456</v>
      </c>
      <c r="B13" s="5">
        <v>1</v>
      </c>
      <c r="C13" s="5">
        <v>68</v>
      </c>
      <c r="D13" s="5">
        <v>20</v>
      </c>
      <c r="E13" s="5">
        <v>2</v>
      </c>
      <c r="F13" s="5">
        <v>2</v>
      </c>
      <c r="G13" s="5">
        <v>1</v>
      </c>
      <c r="H13" s="5">
        <v>94</v>
      </c>
      <c r="I13" s="7">
        <v>0.72340425531914898</v>
      </c>
    </row>
    <row r="14" spans="1:9" x14ac:dyDescent="0.3">
      <c r="A14" s="5">
        <v>43674483</v>
      </c>
      <c r="B14" s="5">
        <v>1</v>
      </c>
      <c r="C14" s="5">
        <v>84</v>
      </c>
      <c r="D14" s="5">
        <v>13</v>
      </c>
      <c r="E14" s="5">
        <v>3</v>
      </c>
      <c r="F14" s="5">
        <v>0</v>
      </c>
      <c r="G14" s="5">
        <v>0</v>
      </c>
      <c r="H14" s="5">
        <v>101</v>
      </c>
      <c r="I14" s="7">
        <v>0.83168316831683164</v>
      </c>
    </row>
    <row r="15" spans="1:9" x14ac:dyDescent="0.3">
      <c r="A15" s="5">
        <v>43862968</v>
      </c>
      <c r="B15" s="5">
        <v>1</v>
      </c>
      <c r="C15" s="5">
        <v>117</v>
      </c>
      <c r="D15" s="5">
        <v>23</v>
      </c>
      <c r="E15" s="5">
        <v>1</v>
      </c>
      <c r="F15" s="5">
        <v>1</v>
      </c>
      <c r="G15" s="5">
        <v>1</v>
      </c>
      <c r="H15" s="5">
        <v>144</v>
      </c>
      <c r="I15" s="7">
        <v>0.8125</v>
      </c>
    </row>
    <row r="16" spans="1:9" x14ac:dyDescent="0.3">
      <c r="A16" s="5">
        <v>43891958</v>
      </c>
      <c r="B16" s="5">
        <v>1</v>
      </c>
      <c r="C16" s="5">
        <v>87</v>
      </c>
      <c r="D16" s="5">
        <v>30</v>
      </c>
      <c r="E16" s="5">
        <v>3</v>
      </c>
      <c r="F16" s="5">
        <v>0</v>
      </c>
      <c r="G16" s="5">
        <v>0</v>
      </c>
      <c r="H16" s="5">
        <v>121</v>
      </c>
      <c r="I16" s="7">
        <v>0.71900826446280997</v>
      </c>
    </row>
    <row r="17" spans="1:9" x14ac:dyDescent="0.3">
      <c r="A17" s="5">
        <v>43920615</v>
      </c>
      <c r="B17" s="5">
        <v>1</v>
      </c>
      <c r="C17" s="5">
        <v>96</v>
      </c>
      <c r="D17" s="5">
        <v>27</v>
      </c>
      <c r="E17" s="5">
        <v>1</v>
      </c>
      <c r="F17" s="5">
        <v>1</v>
      </c>
      <c r="G17" s="5">
        <v>0</v>
      </c>
      <c r="H17" s="5">
        <v>126</v>
      </c>
      <c r="I17" s="7">
        <v>0.76190476190476186</v>
      </c>
    </row>
    <row r="18" spans="1:9" x14ac:dyDescent="0.3">
      <c r="A18" s="5">
        <v>43949404</v>
      </c>
      <c r="B18" s="5">
        <v>1</v>
      </c>
      <c r="C18" s="5">
        <v>79</v>
      </c>
      <c r="D18" s="5">
        <v>26</v>
      </c>
      <c r="E18" s="5">
        <v>3</v>
      </c>
      <c r="F18" s="5">
        <v>1</v>
      </c>
      <c r="G18" s="5">
        <v>0</v>
      </c>
      <c r="H18" s="5">
        <v>110</v>
      </c>
      <c r="I18" s="7">
        <v>0.71818181818181814</v>
      </c>
    </row>
    <row r="19" spans="1:9" x14ac:dyDescent="0.3">
      <c r="A19" s="5">
        <v>43978801</v>
      </c>
      <c r="B19" s="5">
        <v>1</v>
      </c>
      <c r="C19" s="5">
        <v>65</v>
      </c>
      <c r="D19" s="5">
        <v>19</v>
      </c>
      <c r="E19" s="5">
        <v>1</v>
      </c>
      <c r="F19" s="5">
        <v>1</v>
      </c>
      <c r="G19" s="5">
        <v>0</v>
      </c>
      <c r="H19" s="5">
        <v>87</v>
      </c>
      <c r="I19" s="7">
        <v>0.74712643678160917</v>
      </c>
    </row>
    <row r="20" spans="1:9" x14ac:dyDescent="0.3">
      <c r="A20" s="5">
        <v>44010401</v>
      </c>
      <c r="B20" s="5">
        <v>1</v>
      </c>
      <c r="C20" s="5">
        <v>62</v>
      </c>
      <c r="D20" s="5">
        <v>36</v>
      </c>
      <c r="E20" s="5">
        <v>2</v>
      </c>
      <c r="F20" s="5">
        <v>2</v>
      </c>
      <c r="G20" s="5">
        <v>0</v>
      </c>
      <c r="H20" s="5">
        <v>103</v>
      </c>
      <c r="I20" s="7">
        <v>0.60194174757281549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581A-7217-431E-B500-07289003B16D}">
  <dimension ref="A1:L43"/>
  <sheetViews>
    <sheetView workbookViewId="0"/>
  </sheetViews>
  <sheetFormatPr defaultRowHeight="14.4" x14ac:dyDescent="0.3"/>
  <cols>
    <col min="2" max="2" width="19.5546875" bestFit="1" customWidth="1"/>
    <col min="3" max="3" width="9.6640625" bestFit="1" customWidth="1"/>
    <col min="4" max="5" width="9.6640625" customWidth="1"/>
    <col min="9" max="9" width="18.109375" bestFit="1" customWidth="1"/>
    <col min="10" max="10" width="20.44140625" bestFit="1" customWidth="1"/>
    <col min="11" max="11" width="16.6640625" bestFit="1" customWidth="1"/>
  </cols>
  <sheetData>
    <row r="1" spans="1:12" x14ac:dyDescent="0.3">
      <c r="A1" t="s">
        <v>0</v>
      </c>
      <c r="B1" t="s">
        <v>13</v>
      </c>
      <c r="C1" t="s">
        <v>14</v>
      </c>
      <c r="D1" t="s">
        <v>60</v>
      </c>
      <c r="E1" t="s">
        <v>59</v>
      </c>
      <c r="F1" t="s">
        <v>67</v>
      </c>
    </row>
    <row r="2" spans="1:12" x14ac:dyDescent="0.3">
      <c r="A2">
        <v>32318884</v>
      </c>
      <c r="B2" t="s">
        <v>15</v>
      </c>
      <c r="C2" t="s">
        <v>16</v>
      </c>
      <c r="D2">
        <f>YEAR(B2)</f>
        <v>2025</v>
      </c>
      <c r="E2">
        <f>MONTH(B2)</f>
        <v>5</v>
      </c>
      <c r="F2" t="e">
        <f>_xlfn.XLOOKUP(A2,'16 Accounts given'!$A$2:$A$17,'16 Accounts given'!$A$2:$A$17)</f>
        <v>#N/A</v>
      </c>
      <c r="H2" t="str">
        <f>_xlfn.TEXTJOIN(",",,A2:A43)</f>
        <v>32318884,42372845,42381392,42406507,42426592,42426641,42458992,42459041,42459099,42459241,42459298,42463024,42463063,42705635,42731028,42913719,42971568,42997602,43022614,43081554,43110506,43138108,43166702,8200826,43230061,43290314,43319297,43346700,43374604,43402439,43430885,43539274,43566043,43593087,43614456,43674483,43862968,43891958,43920615,43949404,43978801,44010401</v>
      </c>
    </row>
    <row r="3" spans="1:12" x14ac:dyDescent="0.3">
      <c r="A3">
        <v>42372845</v>
      </c>
      <c r="B3" t="s">
        <v>17</v>
      </c>
      <c r="C3" t="s">
        <v>16</v>
      </c>
      <c r="D3">
        <f t="shared" ref="D3:D43" si="0">YEAR(B3)</f>
        <v>2026</v>
      </c>
      <c r="E3">
        <f t="shared" ref="E3:E43" si="1">MONTH(B3)</f>
        <v>6</v>
      </c>
      <c r="F3" t="e">
        <f>_xlfn.XLOOKUP(A3,'16 Accounts given'!$A$2:$A$17,'16 Accounts given'!$A$2:$A$17)</f>
        <v>#N/A</v>
      </c>
      <c r="H3" t="s">
        <v>69</v>
      </c>
    </row>
    <row r="4" spans="1:12" x14ac:dyDescent="0.3">
      <c r="A4">
        <v>42381392</v>
      </c>
      <c r="B4" t="s">
        <v>18</v>
      </c>
      <c r="C4" t="s">
        <v>16</v>
      </c>
      <c r="D4">
        <f t="shared" si="0"/>
        <v>2026</v>
      </c>
      <c r="E4">
        <f t="shared" si="1"/>
        <v>7</v>
      </c>
      <c r="F4" t="e">
        <f>_xlfn.XLOOKUP(A4,'16 Accounts given'!$A$2:$A$17,'16 Accounts given'!$A$2:$A$17)</f>
        <v>#N/A</v>
      </c>
    </row>
    <row r="5" spans="1:12" x14ac:dyDescent="0.3">
      <c r="A5">
        <v>42406507</v>
      </c>
      <c r="B5" t="s">
        <v>19</v>
      </c>
      <c r="C5" t="s">
        <v>20</v>
      </c>
      <c r="D5">
        <f t="shared" si="0"/>
        <v>2026</v>
      </c>
      <c r="E5">
        <f t="shared" si="1"/>
        <v>7</v>
      </c>
      <c r="F5" t="e">
        <f>_xlfn.XLOOKUP(A5,'16 Accounts given'!$A$2:$A$17,'16 Accounts given'!$A$2:$A$17)</f>
        <v>#N/A</v>
      </c>
    </row>
    <row r="6" spans="1:12" x14ac:dyDescent="0.3">
      <c r="A6">
        <v>42426592</v>
      </c>
      <c r="B6" t="s">
        <v>21</v>
      </c>
      <c r="C6" t="s">
        <v>20</v>
      </c>
      <c r="D6">
        <f t="shared" si="0"/>
        <v>2026</v>
      </c>
      <c r="E6">
        <f t="shared" si="1"/>
        <v>7</v>
      </c>
      <c r="F6" t="e">
        <f>_xlfn.XLOOKUP(A6,'16 Accounts given'!$A$2:$A$17,'16 Accounts given'!$A$2:$A$17)</f>
        <v>#N/A</v>
      </c>
      <c r="I6" s="9" t="s">
        <v>61</v>
      </c>
      <c r="J6" s="9" t="s">
        <v>62</v>
      </c>
      <c r="K6" s="9" t="s">
        <v>64</v>
      </c>
      <c r="L6" s="9" t="s">
        <v>65</v>
      </c>
    </row>
    <row r="7" spans="1:12" x14ac:dyDescent="0.3">
      <c r="A7">
        <v>42426641</v>
      </c>
      <c r="B7" t="s">
        <v>22</v>
      </c>
      <c r="C7" t="s">
        <v>20</v>
      </c>
      <c r="D7">
        <f t="shared" si="0"/>
        <v>2026</v>
      </c>
      <c r="E7">
        <f t="shared" si="1"/>
        <v>7</v>
      </c>
      <c r="F7" t="e">
        <f>_xlfn.XLOOKUP(A7,'16 Accounts given'!$A$2:$A$17,'16 Accounts given'!$A$2:$A$17)</f>
        <v>#N/A</v>
      </c>
      <c r="I7" s="10" t="s">
        <v>63</v>
      </c>
      <c r="J7" s="10">
        <v>42</v>
      </c>
      <c r="K7" s="10">
        <v>35</v>
      </c>
      <c r="L7" s="11">
        <v>7</v>
      </c>
    </row>
    <row r="8" spans="1:12" x14ac:dyDescent="0.3">
      <c r="A8">
        <v>42458992</v>
      </c>
      <c r="B8" t="s">
        <v>23</v>
      </c>
      <c r="C8" t="s">
        <v>16</v>
      </c>
      <c r="D8">
        <f t="shared" si="0"/>
        <v>2026</v>
      </c>
      <c r="E8">
        <f t="shared" si="1"/>
        <v>7</v>
      </c>
      <c r="F8" t="e">
        <f>_xlfn.XLOOKUP(A8,'16 Accounts given'!$A$2:$A$17,'16 Accounts given'!$A$2:$A$17)</f>
        <v>#N/A</v>
      </c>
      <c r="I8" s="10" t="s">
        <v>66</v>
      </c>
      <c r="J8" s="10">
        <v>51</v>
      </c>
      <c r="K8" s="10">
        <v>22</v>
      </c>
      <c r="L8" s="11">
        <f>J8-K8</f>
        <v>29</v>
      </c>
    </row>
    <row r="9" spans="1:12" x14ac:dyDescent="0.3">
      <c r="A9">
        <v>42459041</v>
      </c>
      <c r="B9" t="s">
        <v>24</v>
      </c>
      <c r="C9" t="s">
        <v>20</v>
      </c>
      <c r="D9">
        <f t="shared" si="0"/>
        <v>2026</v>
      </c>
      <c r="E9">
        <f t="shared" si="1"/>
        <v>7</v>
      </c>
      <c r="F9" t="e">
        <f>_xlfn.XLOOKUP(A9,'16 Accounts given'!$A$2:$A$17,'16 Accounts given'!$A$2:$A$17)</f>
        <v>#N/A</v>
      </c>
    </row>
    <row r="10" spans="1:12" x14ac:dyDescent="0.3">
      <c r="A10">
        <v>42459099</v>
      </c>
      <c r="B10" t="s">
        <v>25</v>
      </c>
      <c r="C10" t="s">
        <v>20</v>
      </c>
      <c r="D10">
        <f t="shared" si="0"/>
        <v>2026</v>
      </c>
      <c r="E10">
        <f t="shared" si="1"/>
        <v>7</v>
      </c>
      <c r="F10" t="e">
        <f>_xlfn.XLOOKUP(A10,'16 Accounts given'!$A$2:$A$17,'16 Accounts given'!$A$2:$A$17)</f>
        <v>#N/A</v>
      </c>
    </row>
    <row r="11" spans="1:12" x14ac:dyDescent="0.3">
      <c r="A11">
        <v>42459241</v>
      </c>
      <c r="B11" t="s">
        <v>26</v>
      </c>
      <c r="C11" t="s">
        <v>20</v>
      </c>
      <c r="D11">
        <f t="shared" si="0"/>
        <v>2026</v>
      </c>
      <c r="E11">
        <f t="shared" si="1"/>
        <v>7</v>
      </c>
      <c r="F11" t="e">
        <f>_xlfn.XLOOKUP(A11,'16 Accounts given'!$A$2:$A$17,'16 Accounts given'!$A$2:$A$17)</f>
        <v>#N/A</v>
      </c>
      <c r="K11" s="2"/>
    </row>
    <row r="12" spans="1:12" x14ac:dyDescent="0.3">
      <c r="A12">
        <v>42459298</v>
      </c>
      <c r="B12" t="s">
        <v>27</v>
      </c>
      <c r="C12" t="s">
        <v>16</v>
      </c>
      <c r="D12">
        <f t="shared" si="0"/>
        <v>2026</v>
      </c>
      <c r="E12">
        <f t="shared" si="1"/>
        <v>7</v>
      </c>
      <c r="F12" t="e">
        <f>_xlfn.XLOOKUP(A12,'16 Accounts given'!$A$2:$A$17,'16 Accounts given'!$A$2:$A$17)</f>
        <v>#N/A</v>
      </c>
      <c r="K12" s="8"/>
    </row>
    <row r="13" spans="1:12" x14ac:dyDescent="0.3">
      <c r="A13">
        <v>42463024</v>
      </c>
      <c r="B13" t="s">
        <v>28</v>
      </c>
      <c r="C13" t="s">
        <v>20</v>
      </c>
      <c r="D13">
        <f t="shared" si="0"/>
        <v>2026</v>
      </c>
      <c r="E13">
        <f t="shared" si="1"/>
        <v>7</v>
      </c>
      <c r="F13" t="e">
        <f>_xlfn.XLOOKUP(A13,'16 Accounts given'!$A$2:$A$17,'16 Accounts given'!$A$2:$A$17)</f>
        <v>#N/A</v>
      </c>
    </row>
    <row r="14" spans="1:12" x14ac:dyDescent="0.3">
      <c r="A14">
        <v>42463063</v>
      </c>
      <c r="B14" t="s">
        <v>29</v>
      </c>
      <c r="C14" t="s">
        <v>20</v>
      </c>
      <c r="D14">
        <f t="shared" si="0"/>
        <v>2026</v>
      </c>
      <c r="E14">
        <f t="shared" si="1"/>
        <v>7</v>
      </c>
      <c r="F14" t="e">
        <f>_xlfn.XLOOKUP(A14,'16 Accounts given'!$A$2:$A$17,'16 Accounts given'!$A$2:$A$17)</f>
        <v>#N/A</v>
      </c>
    </row>
    <row r="15" spans="1:12" x14ac:dyDescent="0.3">
      <c r="A15">
        <v>42705635</v>
      </c>
      <c r="B15" t="s">
        <v>30</v>
      </c>
      <c r="C15" t="s">
        <v>20</v>
      </c>
      <c r="D15">
        <f t="shared" si="0"/>
        <v>2026</v>
      </c>
      <c r="E15">
        <f t="shared" si="1"/>
        <v>7</v>
      </c>
      <c r="F15" t="e">
        <f>_xlfn.XLOOKUP(A15,'16 Accounts given'!$A$2:$A$17,'16 Accounts given'!$A$2:$A$17)</f>
        <v>#N/A</v>
      </c>
    </row>
    <row r="16" spans="1:12" x14ac:dyDescent="0.3">
      <c r="A16">
        <v>42731028</v>
      </c>
      <c r="B16" t="s">
        <v>31</v>
      </c>
      <c r="C16" t="s">
        <v>20</v>
      </c>
      <c r="D16">
        <f t="shared" si="0"/>
        <v>2026</v>
      </c>
      <c r="E16">
        <f t="shared" si="1"/>
        <v>7</v>
      </c>
      <c r="F16" t="e">
        <f>_xlfn.XLOOKUP(A16,'16 Accounts given'!$A$2:$A$17,'16 Accounts given'!$A$2:$A$17)</f>
        <v>#N/A</v>
      </c>
    </row>
    <row r="17" spans="1:6" x14ac:dyDescent="0.3">
      <c r="A17">
        <v>42913719</v>
      </c>
      <c r="B17" t="s">
        <v>32</v>
      </c>
      <c r="C17" t="s">
        <v>20</v>
      </c>
      <c r="D17">
        <f t="shared" si="0"/>
        <v>2026</v>
      </c>
      <c r="E17">
        <f t="shared" si="1"/>
        <v>7</v>
      </c>
      <c r="F17" t="e">
        <f>_xlfn.XLOOKUP(A17,'16 Accounts given'!$A$2:$A$17,'16 Accounts given'!$A$2:$A$17)</f>
        <v>#N/A</v>
      </c>
    </row>
    <row r="18" spans="1:6" x14ac:dyDescent="0.3">
      <c r="A18">
        <v>42971568</v>
      </c>
      <c r="B18" t="s">
        <v>33</v>
      </c>
      <c r="C18" t="s">
        <v>20</v>
      </c>
      <c r="D18">
        <f t="shared" si="0"/>
        <v>2026</v>
      </c>
      <c r="E18">
        <f t="shared" si="1"/>
        <v>7</v>
      </c>
      <c r="F18" t="e">
        <f>_xlfn.XLOOKUP(A18,'16 Accounts given'!$A$2:$A$17,'16 Accounts given'!$A$2:$A$17)</f>
        <v>#N/A</v>
      </c>
    </row>
    <row r="19" spans="1:6" x14ac:dyDescent="0.3">
      <c r="A19">
        <v>42997602</v>
      </c>
      <c r="B19" t="s">
        <v>34</v>
      </c>
      <c r="C19" t="s">
        <v>20</v>
      </c>
      <c r="D19">
        <f t="shared" si="0"/>
        <v>2026</v>
      </c>
      <c r="E19">
        <f t="shared" si="1"/>
        <v>7</v>
      </c>
      <c r="F19" t="e">
        <f>_xlfn.XLOOKUP(A19,'16 Accounts given'!$A$2:$A$17,'16 Accounts given'!$A$2:$A$17)</f>
        <v>#N/A</v>
      </c>
    </row>
    <row r="20" spans="1:6" x14ac:dyDescent="0.3">
      <c r="A20">
        <v>43022614</v>
      </c>
      <c r="B20" t="s">
        <v>35</v>
      </c>
      <c r="C20" t="s">
        <v>20</v>
      </c>
      <c r="D20">
        <f t="shared" si="0"/>
        <v>2026</v>
      </c>
      <c r="E20">
        <f t="shared" si="1"/>
        <v>7</v>
      </c>
      <c r="F20" t="e">
        <f>_xlfn.XLOOKUP(A20,'16 Accounts given'!$A$2:$A$17,'16 Accounts given'!$A$2:$A$17)</f>
        <v>#N/A</v>
      </c>
    </row>
    <row r="21" spans="1:6" x14ac:dyDescent="0.3">
      <c r="A21">
        <v>43081554</v>
      </c>
      <c r="B21" t="s">
        <v>36</v>
      </c>
      <c r="C21" t="s">
        <v>20</v>
      </c>
      <c r="D21">
        <f t="shared" si="0"/>
        <v>2026</v>
      </c>
      <c r="E21">
        <f t="shared" si="1"/>
        <v>7</v>
      </c>
      <c r="F21" t="e">
        <f>_xlfn.XLOOKUP(A21,'16 Accounts given'!$A$2:$A$17,'16 Accounts given'!$A$2:$A$17)</f>
        <v>#N/A</v>
      </c>
    </row>
    <row r="22" spans="1:6" x14ac:dyDescent="0.3">
      <c r="A22">
        <v>43110506</v>
      </c>
      <c r="B22" t="s">
        <v>37</v>
      </c>
      <c r="C22" t="s">
        <v>16</v>
      </c>
      <c r="D22">
        <f t="shared" si="0"/>
        <v>2026</v>
      </c>
      <c r="E22">
        <f t="shared" si="1"/>
        <v>7</v>
      </c>
      <c r="F22" t="e">
        <f>_xlfn.XLOOKUP(A22,'16 Accounts given'!$A$2:$A$17,'16 Accounts given'!$A$2:$A$17)</f>
        <v>#N/A</v>
      </c>
    </row>
    <row r="23" spans="1:6" x14ac:dyDescent="0.3">
      <c r="A23">
        <v>43138108</v>
      </c>
      <c r="B23" t="s">
        <v>38</v>
      </c>
      <c r="C23" t="s">
        <v>20</v>
      </c>
      <c r="D23">
        <f t="shared" si="0"/>
        <v>2026</v>
      </c>
      <c r="E23">
        <f t="shared" si="1"/>
        <v>7</v>
      </c>
      <c r="F23" t="e">
        <f>_xlfn.XLOOKUP(A23,'16 Accounts given'!$A$2:$A$17,'16 Accounts given'!$A$2:$A$17)</f>
        <v>#N/A</v>
      </c>
    </row>
    <row r="24" spans="1:6" x14ac:dyDescent="0.3">
      <c r="A24">
        <v>43166702</v>
      </c>
      <c r="B24" t="s">
        <v>39</v>
      </c>
      <c r="C24" t="s">
        <v>20</v>
      </c>
      <c r="D24">
        <f t="shared" si="0"/>
        <v>2026</v>
      </c>
      <c r="E24">
        <f t="shared" si="1"/>
        <v>7</v>
      </c>
      <c r="F24" t="e">
        <f>_xlfn.XLOOKUP(A24,'16 Accounts given'!$A$2:$A$17,'16 Accounts given'!$A$2:$A$17)</f>
        <v>#N/A</v>
      </c>
    </row>
    <row r="25" spans="1:6" x14ac:dyDescent="0.3">
      <c r="A25">
        <v>8200826</v>
      </c>
      <c r="B25" t="s">
        <v>40</v>
      </c>
      <c r="C25" t="s">
        <v>16</v>
      </c>
      <c r="D25">
        <f t="shared" si="0"/>
        <v>2020</v>
      </c>
      <c r="E25">
        <f t="shared" si="1"/>
        <v>4</v>
      </c>
      <c r="F25" t="e">
        <f>_xlfn.XLOOKUP(A25,'16 Accounts given'!$A$2:$A$17,'16 Accounts given'!$A$2:$A$17)</f>
        <v>#N/A</v>
      </c>
    </row>
    <row r="26" spans="1:6" x14ac:dyDescent="0.3">
      <c r="A26">
        <v>43230061</v>
      </c>
      <c r="B26" t="s">
        <v>41</v>
      </c>
      <c r="C26" t="s">
        <v>20</v>
      </c>
      <c r="D26">
        <f t="shared" si="0"/>
        <v>2026</v>
      </c>
      <c r="E26">
        <f t="shared" si="1"/>
        <v>8</v>
      </c>
      <c r="F26" t="e">
        <f>_xlfn.XLOOKUP(A26,'16 Accounts given'!$A$2:$A$17,'16 Accounts given'!$A$2:$A$17)</f>
        <v>#N/A</v>
      </c>
    </row>
    <row r="27" spans="1:6" x14ac:dyDescent="0.3">
      <c r="A27">
        <v>43290314</v>
      </c>
      <c r="B27" t="s">
        <v>42</v>
      </c>
      <c r="C27" t="s">
        <v>20</v>
      </c>
      <c r="D27">
        <f t="shared" si="0"/>
        <v>2026</v>
      </c>
      <c r="E27">
        <f t="shared" si="1"/>
        <v>8</v>
      </c>
      <c r="F27" t="e">
        <f>_xlfn.XLOOKUP(A27,'16 Accounts given'!$A$2:$A$17,'16 Accounts given'!$A$2:$A$17)</f>
        <v>#N/A</v>
      </c>
    </row>
    <row r="28" spans="1:6" x14ac:dyDescent="0.3">
      <c r="A28">
        <v>43319297</v>
      </c>
      <c r="B28" t="s">
        <v>43</v>
      </c>
      <c r="C28" t="s">
        <v>20</v>
      </c>
      <c r="D28">
        <f t="shared" si="0"/>
        <v>2026</v>
      </c>
      <c r="E28">
        <f t="shared" si="1"/>
        <v>8</v>
      </c>
      <c r="F28" t="e">
        <f>_xlfn.XLOOKUP(A28,'16 Accounts given'!$A$2:$A$17,'16 Accounts given'!$A$2:$A$17)</f>
        <v>#N/A</v>
      </c>
    </row>
    <row r="29" spans="1:6" x14ac:dyDescent="0.3">
      <c r="A29">
        <v>43346700</v>
      </c>
      <c r="B29" t="s">
        <v>44</v>
      </c>
      <c r="C29" t="s">
        <v>20</v>
      </c>
      <c r="D29">
        <f t="shared" si="0"/>
        <v>2026</v>
      </c>
      <c r="E29">
        <f t="shared" si="1"/>
        <v>8</v>
      </c>
      <c r="F29" t="e">
        <f>_xlfn.XLOOKUP(A29,'16 Accounts given'!$A$2:$A$17,'16 Accounts given'!$A$2:$A$17)</f>
        <v>#N/A</v>
      </c>
    </row>
    <row r="30" spans="1:6" x14ac:dyDescent="0.3">
      <c r="A30">
        <v>43374604</v>
      </c>
      <c r="B30" t="s">
        <v>45</v>
      </c>
      <c r="C30" t="s">
        <v>20</v>
      </c>
      <c r="D30">
        <f t="shared" si="0"/>
        <v>2026</v>
      </c>
      <c r="E30">
        <f t="shared" si="1"/>
        <v>8</v>
      </c>
      <c r="F30" t="e">
        <f>_xlfn.XLOOKUP(A30,'16 Accounts given'!$A$2:$A$17,'16 Accounts given'!$A$2:$A$17)</f>
        <v>#N/A</v>
      </c>
    </row>
    <row r="31" spans="1:6" x14ac:dyDescent="0.3">
      <c r="A31">
        <v>43402439</v>
      </c>
      <c r="B31" t="s">
        <v>46</v>
      </c>
      <c r="C31" t="s">
        <v>20</v>
      </c>
      <c r="D31">
        <f t="shared" si="0"/>
        <v>2026</v>
      </c>
      <c r="E31">
        <f t="shared" si="1"/>
        <v>8</v>
      </c>
      <c r="F31" t="e">
        <f>_xlfn.XLOOKUP(A31,'16 Accounts given'!$A$2:$A$17,'16 Accounts given'!$A$2:$A$17)</f>
        <v>#N/A</v>
      </c>
    </row>
    <row r="32" spans="1:6" x14ac:dyDescent="0.3">
      <c r="A32">
        <v>43430885</v>
      </c>
      <c r="B32" t="s">
        <v>47</v>
      </c>
      <c r="C32" t="s">
        <v>20</v>
      </c>
      <c r="D32">
        <f t="shared" si="0"/>
        <v>2026</v>
      </c>
      <c r="E32">
        <f t="shared" si="1"/>
        <v>8</v>
      </c>
      <c r="F32" t="e">
        <f>_xlfn.XLOOKUP(A32,'16 Accounts given'!$A$2:$A$17,'16 Accounts given'!$A$2:$A$17)</f>
        <v>#N/A</v>
      </c>
    </row>
    <row r="33" spans="1:6" x14ac:dyDescent="0.3">
      <c r="A33">
        <v>43539274</v>
      </c>
      <c r="B33" t="s">
        <v>48</v>
      </c>
      <c r="C33" t="s">
        <v>20</v>
      </c>
      <c r="D33">
        <f t="shared" si="0"/>
        <v>2026</v>
      </c>
      <c r="E33">
        <f t="shared" si="1"/>
        <v>8</v>
      </c>
      <c r="F33" t="e">
        <f>_xlfn.XLOOKUP(A33,'16 Accounts given'!$A$2:$A$17,'16 Accounts given'!$A$2:$A$17)</f>
        <v>#N/A</v>
      </c>
    </row>
    <row r="34" spans="1:6" x14ac:dyDescent="0.3">
      <c r="A34">
        <v>43566043</v>
      </c>
      <c r="B34" t="s">
        <v>49</v>
      </c>
      <c r="C34" t="s">
        <v>20</v>
      </c>
      <c r="D34">
        <f t="shared" si="0"/>
        <v>2026</v>
      </c>
      <c r="E34">
        <f t="shared" si="1"/>
        <v>8</v>
      </c>
      <c r="F34" t="e">
        <f>_xlfn.XLOOKUP(A34,'16 Accounts given'!$A$2:$A$17,'16 Accounts given'!$A$2:$A$17)</f>
        <v>#N/A</v>
      </c>
    </row>
    <row r="35" spans="1:6" x14ac:dyDescent="0.3">
      <c r="A35">
        <v>43593087</v>
      </c>
      <c r="B35" t="s">
        <v>50</v>
      </c>
      <c r="C35" t="s">
        <v>20</v>
      </c>
      <c r="D35">
        <f t="shared" si="0"/>
        <v>2026</v>
      </c>
      <c r="E35">
        <f t="shared" si="1"/>
        <v>8</v>
      </c>
      <c r="F35" t="e">
        <f>_xlfn.XLOOKUP(A35,'16 Accounts given'!$A$2:$A$17,'16 Accounts given'!$A$2:$A$17)</f>
        <v>#N/A</v>
      </c>
    </row>
    <row r="36" spans="1:6" x14ac:dyDescent="0.3">
      <c r="A36">
        <v>43614456</v>
      </c>
      <c r="B36" t="s">
        <v>51</v>
      </c>
      <c r="C36" t="s">
        <v>20</v>
      </c>
      <c r="D36">
        <f t="shared" si="0"/>
        <v>2026</v>
      </c>
      <c r="E36">
        <f t="shared" si="1"/>
        <v>8</v>
      </c>
      <c r="F36" t="e">
        <f>_xlfn.XLOOKUP(A36,'16 Accounts given'!$A$2:$A$17,'16 Accounts given'!$A$2:$A$17)</f>
        <v>#N/A</v>
      </c>
    </row>
    <row r="37" spans="1:6" x14ac:dyDescent="0.3">
      <c r="A37">
        <v>43674483</v>
      </c>
      <c r="B37" t="s">
        <v>52</v>
      </c>
      <c r="C37" t="s">
        <v>20</v>
      </c>
      <c r="D37">
        <f t="shared" si="0"/>
        <v>2026</v>
      </c>
      <c r="E37">
        <f t="shared" si="1"/>
        <v>8</v>
      </c>
      <c r="F37" t="e">
        <f>_xlfn.XLOOKUP(A37,'16 Accounts given'!$A$2:$A$17,'16 Accounts given'!$A$2:$A$17)</f>
        <v>#N/A</v>
      </c>
    </row>
    <row r="38" spans="1:6" x14ac:dyDescent="0.3">
      <c r="A38">
        <v>43862968</v>
      </c>
      <c r="B38" t="s">
        <v>53</v>
      </c>
      <c r="C38" t="s">
        <v>20</v>
      </c>
      <c r="D38">
        <f t="shared" si="0"/>
        <v>2026</v>
      </c>
      <c r="E38">
        <f t="shared" si="1"/>
        <v>8</v>
      </c>
      <c r="F38" t="e">
        <f>_xlfn.XLOOKUP(A38,'16 Accounts given'!$A$2:$A$17,'16 Accounts given'!$A$2:$A$17)</f>
        <v>#N/A</v>
      </c>
    </row>
    <row r="39" spans="1:6" x14ac:dyDescent="0.3">
      <c r="A39">
        <v>43891958</v>
      </c>
      <c r="B39" t="s">
        <v>54</v>
      </c>
      <c r="C39" t="s">
        <v>20</v>
      </c>
      <c r="D39">
        <f t="shared" si="0"/>
        <v>2026</v>
      </c>
      <c r="E39">
        <f t="shared" si="1"/>
        <v>8</v>
      </c>
      <c r="F39" t="e">
        <f>_xlfn.XLOOKUP(A39,'16 Accounts given'!$A$2:$A$17,'16 Accounts given'!$A$2:$A$17)</f>
        <v>#N/A</v>
      </c>
    </row>
    <row r="40" spans="1:6" x14ac:dyDescent="0.3">
      <c r="A40">
        <v>43920615</v>
      </c>
      <c r="B40" t="s">
        <v>55</v>
      </c>
      <c r="C40" t="s">
        <v>20</v>
      </c>
      <c r="D40">
        <f t="shared" si="0"/>
        <v>2026</v>
      </c>
      <c r="E40">
        <f t="shared" si="1"/>
        <v>8</v>
      </c>
      <c r="F40" t="e">
        <f>_xlfn.XLOOKUP(A40,'16 Accounts given'!$A$2:$A$17,'16 Accounts given'!$A$2:$A$17)</f>
        <v>#N/A</v>
      </c>
    </row>
    <row r="41" spans="1:6" x14ac:dyDescent="0.3">
      <c r="A41">
        <v>43949404</v>
      </c>
      <c r="B41" t="s">
        <v>56</v>
      </c>
      <c r="C41" t="s">
        <v>20</v>
      </c>
      <c r="D41">
        <f t="shared" si="0"/>
        <v>2026</v>
      </c>
      <c r="E41">
        <f t="shared" si="1"/>
        <v>8</v>
      </c>
      <c r="F41" t="e">
        <f>_xlfn.XLOOKUP(A41,'16 Accounts given'!$A$2:$A$17,'16 Accounts given'!$A$2:$A$17)</f>
        <v>#N/A</v>
      </c>
    </row>
    <row r="42" spans="1:6" x14ac:dyDescent="0.3">
      <c r="A42">
        <v>43978801</v>
      </c>
      <c r="B42" t="s">
        <v>57</v>
      </c>
      <c r="C42" t="s">
        <v>20</v>
      </c>
      <c r="D42">
        <f t="shared" si="0"/>
        <v>2026</v>
      </c>
      <c r="E42">
        <f t="shared" si="1"/>
        <v>8</v>
      </c>
      <c r="F42" t="e">
        <f>_xlfn.XLOOKUP(A42,'16 Accounts given'!$A$2:$A$17,'16 Accounts given'!$A$2:$A$17)</f>
        <v>#N/A</v>
      </c>
    </row>
    <row r="43" spans="1:6" x14ac:dyDescent="0.3">
      <c r="A43">
        <v>44010401</v>
      </c>
      <c r="B43" t="s">
        <v>58</v>
      </c>
      <c r="C43" t="s">
        <v>20</v>
      </c>
      <c r="D43">
        <f t="shared" si="0"/>
        <v>2026</v>
      </c>
      <c r="E43">
        <f t="shared" si="1"/>
        <v>8</v>
      </c>
      <c r="F43" t="e">
        <f>_xlfn.XLOOKUP(A43,'16 Accounts given'!$A$2:$A$17,'16 Accounts given'!$A$2:$A$17)</f>
        <v>#N/A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BE8B-C05A-4E94-87C5-8B2594627E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query</vt:lpstr>
      <vt:lpstr>July 2026 </vt:lpstr>
      <vt:lpstr>&gt;50% order(July)</vt:lpstr>
      <vt:lpstr>Aug 2026</vt:lpstr>
      <vt:lpstr>&gt;50% order(Aug)</vt:lpstr>
      <vt:lpstr>Sheet1</vt:lpstr>
      <vt:lpstr>16 Accounts given</vt:lpstr>
      <vt:lpstr>account to check (July)</vt:lpstr>
      <vt:lpstr>account to check(Aug)</vt:lpstr>
      <vt:lpstr>unique id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Kc</dc:creator>
  <cp:lastModifiedBy>Wei Kc</cp:lastModifiedBy>
  <dcterms:created xsi:type="dcterms:W3CDTF">2026-09-10T06:14:28Z</dcterms:created>
  <dcterms:modified xsi:type="dcterms:W3CDTF">2026-09-22T05:22:38Z</dcterms:modified>
</cp:coreProperties>
</file>