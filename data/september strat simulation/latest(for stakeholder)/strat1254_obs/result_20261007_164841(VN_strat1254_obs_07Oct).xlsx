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wei.kc\Desktop\Adhoc\03 Sept 2026\data\september strat simulation\latest(for stakeholder)\strat1254_obs\"/>
    </mc:Choice>
  </mc:AlternateContent>
  <xr:revisionPtr revIDLastSave="0" documentId="13_ncr:1_{B80855E9-F8C8-4A46-9333-47413C9E552C}" xr6:coauthVersionLast="47" xr6:coauthVersionMax="47" xr10:uidLastSave="{00000000-0000-0000-0000-000000000000}"/>
  <bookViews>
    <workbookView xWindow="-108" yWindow="-108" windowWidth="23256" windowHeight="12456" activeTab="3" xr2:uid="{00000000-000D-0000-FFFF-FFFF00000000}"/>
  </bookViews>
  <sheets>
    <sheet name="query" sheetId="3" r:id="rId1"/>
    <sheet name="Results export" sheetId="1" r:id="rId2"/>
    <sheet name="unique_user info" sheetId="2" r:id="rId3"/>
    <sheet name="reporting" sheetId="4" r:id="rId4"/>
  </sheets>
  <definedNames>
    <definedName name="_xlnm._FilterDatabase" localSheetId="1" hidden="1">'Results export'!$A$1:$Q$202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8" i="4" l="1"/>
  <c r="O27" i="4"/>
  <c r="O13" i="4"/>
  <c r="O12" i="4"/>
  <c r="O3" i="4"/>
  <c r="O2" i="4"/>
  <c r="O5" i="4" s="1"/>
  <c r="F3" i="4"/>
  <c r="F4" i="4"/>
  <c r="F5" i="4"/>
  <c r="F6" i="4"/>
  <c r="F7" i="4"/>
  <c r="F8" i="4"/>
  <c r="F9" i="4"/>
  <c r="F10" i="4"/>
  <c r="F11" i="4"/>
  <c r="F12" i="4"/>
  <c r="F13" i="4"/>
  <c r="F14" i="4"/>
  <c r="F15" i="4"/>
  <c r="F16" i="4"/>
  <c r="F2" i="4"/>
  <c r="A3" i="4"/>
  <c r="A4" i="4"/>
  <c r="A5" i="4"/>
  <c r="A6" i="4"/>
  <c r="A7" i="4"/>
  <c r="A8" i="4"/>
  <c r="A9" i="4"/>
  <c r="A10" i="4"/>
  <c r="A11" i="4"/>
  <c r="A12" i="4"/>
  <c r="A13" i="4"/>
  <c r="A14" i="4"/>
  <c r="A15" i="4"/>
  <c r="A16" i="4"/>
  <c r="I3" i="4"/>
  <c r="I4" i="4"/>
  <c r="I5" i="4"/>
  <c r="I6" i="4"/>
  <c r="I7" i="4"/>
  <c r="I8" i="4"/>
  <c r="I9" i="4"/>
  <c r="I10" i="4"/>
  <c r="I11" i="4"/>
  <c r="I12" i="4"/>
  <c r="I13" i="4"/>
  <c r="I14" i="4"/>
  <c r="I15" i="4"/>
  <c r="I16" i="4"/>
  <c r="I2" i="4"/>
  <c r="A2" i="4"/>
</calcChain>
</file>

<file path=xl/sharedStrings.xml><?xml version="1.0" encoding="utf-8"?>
<sst xmlns="http://schemas.openxmlformats.org/spreadsheetml/2006/main" count="2568" uniqueCount="402">
  <si>
    <t>traceid</t>
  </si>
  <si>
    <t>hitidlist</t>
  </si>
  <si>
    <t>p365d_user_completion_rate</t>
  </si>
  <si>
    <t>p365d_user_complete_count</t>
  </si>
  <si>
    <t>country_name</t>
  </si>
  <si>
    <t>user_live_days</t>
  </si>
  <si>
    <t>cancellation_rate</t>
  </si>
  <si>
    <t>user_id_str</t>
  </si>
  <si>
    <t>is_api_corp</t>
  </si>
  <si>
    <t>ep_id</t>
  </si>
  <si>
    <t>model</t>
  </si>
  <si>
    <t>brand</t>
  </si>
  <si>
    <t>is_enterprise_corp</t>
  </si>
  <si>
    <t>ip</t>
  </si>
  <si>
    <t>city_name</t>
  </si>
  <si>
    <t>is_vn_first_login_city</t>
  </si>
  <si>
    <t>reg_datetime</t>
  </si>
  <si>
    <t>ad0fb0ff856dbe36.101.17912750714410706</t>
  </si>
  <si>
    <t>[1254]</t>
  </si>
  <si>
    <t>Vietnam</t>
  </si>
  <si>
    <t>false</t>
  </si>
  <si>
    <t>iPhone17 Pro Max</t>
  </si>
  <si>
    <t/>
  </si>
  <si>
    <t>127.0.0.1</t>
  </si>
  <si>
    <t>Hanoi</t>
  </si>
  <si>
    <t>true</t>
  </si>
  <si>
    <t>2020-04-30 15:05:10</t>
  </si>
  <si>
    <t>ad0fb0ff856dbe36.101.17912752031510872</t>
  </si>
  <si>
    <t>ad0fb0ff856dbe36.101.17912752200470954</t>
  </si>
  <si>
    <t>ad0fb0ff856dbe36.101.17912754060621062</t>
  </si>
  <si>
    <t>ad0fb0ff856dbe36.101.17912754169101136</t>
  </si>
  <si>
    <t>8fc1cf6c10de646a.101.17912761541420802</t>
  </si>
  <si>
    <t>iPhone 15 Pro Max</t>
  </si>
  <si>
    <t>2026-09-14 08:30:46</t>
  </si>
  <si>
    <t>95a5e059d53424d3.101.17913396788571255</t>
  </si>
  <si>
    <t>95a5e059d53424d3.101.17913396883741329</t>
  </si>
  <si>
    <t>95a5e059d53424d3.101.17913397100101432</t>
  </si>
  <si>
    <t>95a5e059d53424d3.101.17913384893940676</t>
  </si>
  <si>
    <t>95a5e059d53424d3.101.17913385037960757</t>
  </si>
  <si>
    <t>b6dd64368e28fb01.201.17912497393080836</t>
  </si>
  <si>
    <t>Pixel</t>
  </si>
  <si>
    <t>Ho Chi Minh City</t>
  </si>
  <si>
    <t>2026-10-05 15:28:58</t>
  </si>
  <si>
    <t>b6dd64368e28fb01.201.17912497750650893</t>
  </si>
  <si>
    <t>b6dd64368e28fb01.201.17912498586870986</t>
  </si>
  <si>
    <t>b6dd64368e28fb01.201.17912499105021072</t>
  </si>
  <si>
    <t>b6dd64368e28fb01.201.17912499435421137</t>
  </si>
  <si>
    <t>b6dd64368e28fb01.201.17912499746761198</t>
  </si>
  <si>
    <t>b6dd64368e28fb01.201.17912500831531274</t>
  </si>
  <si>
    <t>b6dd64368e28fb01.201.17912502194611386</t>
  </si>
  <si>
    <t>b6dd64368e28fb01.201.17912502580991451</t>
  </si>
  <si>
    <t>b6dd64368e28fb01.201.17912495366580406</t>
  </si>
  <si>
    <t>b6dd64368e28fb01.201.17912495688150466</t>
  </si>
  <si>
    <t>b6dd64368e28fb01.201.17912495977140531</t>
  </si>
  <si>
    <t>b6dd64368e28fb01.201.17912496275260594</t>
  </si>
  <si>
    <t>b6dd64368e28fb01.201.17912496557310661</t>
  </si>
  <si>
    <t>a4a382af16f6e4b3.201.17912485164600189</t>
  </si>
  <si>
    <t>23021RAAEG</t>
  </si>
  <si>
    <t>Can Tho</t>
  </si>
  <si>
    <t>2026-10-05 08:41:36</t>
  </si>
  <si>
    <t>8b33e247d1ddb20c.101.17911685760471238</t>
  </si>
  <si>
    <t>a4be01c349665ec8.201.17911629048621337</t>
  </si>
  <si>
    <t>2026-10-03 08:10:46</t>
  </si>
  <si>
    <t>a4be01c349665ec8.201.17911629345431395</t>
  </si>
  <si>
    <t>abd7b820f9e4e052.201.17908157825403937</t>
  </si>
  <si>
    <t>XPLORE 1</t>
  </si>
  <si>
    <t>2026-09-14 07:49:03</t>
  </si>
  <si>
    <t>abd7b820f9e4e052.201.17908158405803994</t>
  </si>
  <si>
    <t>b951801133b1fbfb.201.17910757126152190</t>
  </si>
  <si>
    <t>b951801133b1fbfb.201.17910757479892252</t>
  </si>
  <si>
    <t>b951801133b1fbfb.201.17910757824852316</t>
  </si>
  <si>
    <t>b951801133b1fbfb.201.17910758142162382</t>
  </si>
  <si>
    <t>b951801133b1fbfb.201.17910759209512609</t>
  </si>
  <si>
    <t>b951801133b1fbfb.201.17910759488782665</t>
  </si>
  <si>
    <t>b951801133b1fbfb.201.17910761199162750</t>
  </si>
  <si>
    <t>a4be01c349665ec8.201.17911621727830389</t>
  </si>
  <si>
    <t>a4be01c349665ec8.201.17911622655840520</t>
  </si>
  <si>
    <t>a4be01c349665ec8.201.17911623084360581</t>
  </si>
  <si>
    <t>a4be01c349665ec8.201.17911623655910670</t>
  </si>
  <si>
    <t>a4be01c349665ec8.201.17911624195190740</t>
  </si>
  <si>
    <t>a4be01c349665ec8.201.17911625063100882</t>
  </si>
  <si>
    <t>a4be01c349665ec8.201.17911626166070971</t>
  </si>
  <si>
    <t>b951801133b1fbfb.201.17910751034741337</t>
  </si>
  <si>
    <t>b951801133b1fbfb.201.17910751865381421</t>
  </si>
  <si>
    <t>b951801133b1fbfb.201.17910752113361484</t>
  </si>
  <si>
    <t>b951801133b1fbfb.201.17910752357551550</t>
  </si>
  <si>
    <t>b951801133b1fbfb.201.17910753644001738</t>
  </si>
  <si>
    <t>b951801133b1fbfb.201.17910754244611808</t>
  </si>
  <si>
    <t>b951801133b1fbfb.201.17910754813801913</t>
  </si>
  <si>
    <t>b951801133b1fbfb.201.17910755486192006</t>
  </si>
  <si>
    <t>b951801133b1fbfb.201.17910756486782109</t>
  </si>
  <si>
    <t>8101570592e07f88.101.17907393497290668</t>
  </si>
  <si>
    <t>8543f31384dcb19b.101.17908149269150688</t>
  </si>
  <si>
    <t>iPhone 11 Pro Max</t>
  </si>
  <si>
    <t>2026-09-26 14:04:17</t>
  </si>
  <si>
    <t>2d6d0182abfa429791b54fb1e929ea98.356.17908600395352578</t>
  </si>
  <si>
    <t>NULL</t>
  </si>
  <si>
    <t>2024-11-10 16:14:40</t>
  </si>
  <si>
    <t>b951801133b1fbfb.201.17910743391230347</t>
  </si>
  <si>
    <t>b951801133b1fbfb.201.17910743763160401</t>
  </si>
  <si>
    <t>b951801133b1fbfb.201.17910744308540467</t>
  </si>
  <si>
    <t>a80e048a6057226b.101.17910137559301520</t>
  </si>
  <si>
    <t>baab244b603c848c.201.17911608765240345</t>
  </si>
  <si>
    <t>baab244b603c848c.201.17911609043770401</t>
  </si>
  <si>
    <t>baab244b603c848c.201.17911609347420459</t>
  </si>
  <si>
    <t>baab244b603c848c.201.17911609637290523</t>
  </si>
  <si>
    <t>baab244b603c848c.201.17911610189650603</t>
  </si>
  <si>
    <t>b951801133b1fbfb.201.17910774595844760</t>
  </si>
  <si>
    <t>b951801133b1fbfb.201.17910774922304832</t>
  </si>
  <si>
    <t>b951801133b1fbfb.201.17910777026875075</t>
  </si>
  <si>
    <t>b951801133b1fbfb.201.17910777264665117</t>
  </si>
  <si>
    <t>b951801133b1fbfb.201.17910777418215154</t>
  </si>
  <si>
    <t>b951801133b1fbfb.201.17910777683825191</t>
  </si>
  <si>
    <t>b951801133b1fbfb.201.17910778159045283</t>
  </si>
  <si>
    <t>b951801133b1fbfb.201.17910778445365350</t>
  </si>
  <si>
    <t>abd7b820f9e4e052.201.17907630613683328</t>
  </si>
  <si>
    <t>9f684f3f9e4b717f.201.17909312322450377</t>
  </si>
  <si>
    <t>2026-09-20 19:42:34</t>
  </si>
  <si>
    <t>9f684f3f9e4b717f.201.17909312535670416</t>
  </si>
  <si>
    <t>acd2492f1be614d0.101.17909313208590667</t>
  </si>
  <si>
    <t>iPhone 16 Pro Max</t>
  </si>
  <si>
    <t>2026-08-28 20:54:32</t>
  </si>
  <si>
    <t>b951801133b1fbfb.201.17910744741590522</t>
  </si>
  <si>
    <t>b951801133b1fbfb.201.17910745052060576</t>
  </si>
  <si>
    <t>b951801133b1fbfb.201.17910745372700632</t>
  </si>
  <si>
    <t>b951801133b1fbfb.201.17910745691150687</t>
  </si>
  <si>
    <t>b951801133b1fbfb.201.17910746013670741</t>
  </si>
  <si>
    <t>b951801133b1fbfb.201.17910746423000796</t>
  </si>
  <si>
    <t>b951801133b1fbfb.201.17910746869390868</t>
  </si>
  <si>
    <t>b951801133b1fbfb.201.17910747382840946</t>
  </si>
  <si>
    <t>b951801133b1fbfb.201.17910747684261011</t>
  </si>
  <si>
    <t>b951801133b1fbfb.201.17910747942321075</t>
  </si>
  <si>
    <t>b951801133b1fbfb.201.17910748225481132</t>
  </si>
  <si>
    <t>b951801133b1fbfb.201.17910748561401194</t>
  </si>
  <si>
    <t>b951801133b1fbfb.201.17910748875851255</t>
  </si>
  <si>
    <t>b5532a62759d254d.101.17908369256650947</t>
  </si>
  <si>
    <t>b5532a62759d254d.101.17908369940681050</t>
  </si>
  <si>
    <t>b5532a62759d254d.101.17908370295001134</t>
  </si>
  <si>
    <t>b5532a62759d254d.101.17908371853601245</t>
  </si>
  <si>
    <t>b5532a62759d254d.101.17908372298001336</t>
  </si>
  <si>
    <t>a45d055ac808089a.201.17910795203660757</t>
  </si>
  <si>
    <t>a45d055ac808089a.201.17910795597940832</t>
  </si>
  <si>
    <t>a45d055ac808089a.201.17910796473990935</t>
  </si>
  <si>
    <t>9fc14b26e087e67b.101.17908130350720978</t>
  </si>
  <si>
    <t>bad08302cff50f33.201.17911644733030415</t>
  </si>
  <si>
    <t>5a0662937287404ca4e04b9bca67dd0a.313.17906665038761008</t>
  </si>
  <si>
    <t>2025-08-29 15:36:46</t>
  </si>
  <si>
    <t>10a7f055dc194e408fcef3d802510c57.360.17906667495611120</t>
  </si>
  <si>
    <t>899131ed5ec7b965.101.17906701281490662</t>
  </si>
  <si>
    <t>899131ed5ec7b965.101.17906701528520782</t>
  </si>
  <si>
    <t>b1a53ee3a05d2d13.101.17911875831881597</t>
  </si>
  <si>
    <t>iPhone 14 Pro Max</t>
  </si>
  <si>
    <t>2025-12-27 15:58:03</t>
  </si>
  <si>
    <t>b1a53ee3a05d2d13.101.17911876122951623</t>
  </si>
  <si>
    <t>a1386396e90bd947.101.17908450423590751</t>
  </si>
  <si>
    <t>a1386396e90bd947.101.17908450624730827</t>
  </si>
  <si>
    <t>9f9580edc4d9c9eb.101.17910170995881035</t>
  </si>
  <si>
    <t>9f9580edc4d9c9eb.101.17910171194861118</t>
  </si>
  <si>
    <t>b97d9e545bce2564.101.17908350743850206</t>
  </si>
  <si>
    <t>[1017,1254]</t>
  </si>
  <si>
    <t>iPhone X</t>
  </si>
  <si>
    <t>2026-01-25 20:00:04</t>
  </si>
  <si>
    <t>abd7b820f9e4e052.201.17907452550031653</t>
  </si>
  <si>
    <t>abd7b820f9e4e052.201.17907452922341710</t>
  </si>
  <si>
    <t>abd7b820f9e4e052.201.17907453278381770</t>
  </si>
  <si>
    <t>abd7b820f9e4e052.201.17907453576831827</t>
  </si>
  <si>
    <t>abd7b820f9e4e052.201.17907453925561885</t>
  </si>
  <si>
    <t>abd7b820f9e4e052.201.17907454469161944</t>
  </si>
  <si>
    <t>abd7b820f9e4e052.201.17907454699511992</t>
  </si>
  <si>
    <t>abd7b820f9e4e052.201.17907455047532050</t>
  </si>
  <si>
    <t>3ce2e5e839204e67b12c00cbf4d9f8d5.377.17908413133063680</t>
  </si>
  <si>
    <t>abd7b820f9e4e052.201.17907624932092746</t>
  </si>
  <si>
    <t>abd7b820f9e4e052.201.17907625329832805</t>
  </si>
  <si>
    <t>abd7b820f9e4e052.201.17907625824992861</t>
  </si>
  <si>
    <t>abd7b820f9e4e052.201.17907626406592918</t>
  </si>
  <si>
    <t>abd7b820f9e4e052.201.17907627299202977</t>
  </si>
  <si>
    <t>abd7b820f9e4e052.201.17907627655203035</t>
  </si>
  <si>
    <t>abd7b820f9e4e052.201.17907628021433091</t>
  </si>
  <si>
    <t>abd7b820f9e4e052.201.17907628714233150</t>
  </si>
  <si>
    <t>abd7b820f9e4e052.201.17907629316493207</t>
  </si>
  <si>
    <t>abd7b820f9e4e052.201.17907629966583268</t>
  </si>
  <si>
    <t>abd7b820f9e4e052.201.17908158836504051</t>
  </si>
  <si>
    <t>abd7b820f9e4e052.201.17908159059554098</t>
  </si>
  <si>
    <t>abd7b820f9e4e052.201.17908159281434145</t>
  </si>
  <si>
    <t>abd7b820f9e4e052.201.17908159675794204</t>
  </si>
  <si>
    <t>abd7b820f9e4e052.201.17908159914274251</t>
  </si>
  <si>
    <t>abd7b820f9e4e052.201.17908160270634317</t>
  </si>
  <si>
    <t>abd7b820f9e4e052.201.17908160571524366</t>
  </si>
  <si>
    <t>8ed70cc9115e3f7f.101.17909109887650897</t>
  </si>
  <si>
    <t>2026-04-21 16:48:03</t>
  </si>
  <si>
    <t>a80e048a6057226b.101.17910118614770775</t>
  </si>
  <si>
    <t>9e40bffaa25f64c7.101.17911055244290174</t>
  </si>
  <si>
    <t>2026-03-30 18:24:36</t>
  </si>
  <si>
    <t>abd7b820f9e4e052.201.17908156793383822</t>
  </si>
  <si>
    <t>abd7b820f9e4e052.201.17908157138703880</t>
  </si>
  <si>
    <t>a4be01c349665ec8.201.17911626823111038</t>
  </si>
  <si>
    <t>a4be01c349665ec8.201.17911628127191148</t>
  </si>
  <si>
    <t>a4be01c349665ec8.201.17911628563881217</t>
  </si>
  <si>
    <t>a4be01c349665ec8.201.17911628839061275</t>
  </si>
  <si>
    <t>abd7b820f9e4e052.201.17907330628270692</t>
  </si>
  <si>
    <t>abd7b820f9e4e052.201.17907330997520748</t>
  </si>
  <si>
    <t>abd7b820f9e4e052.201.17907331345920809</t>
  </si>
  <si>
    <t>abd7b820f9e4e052.201.17907331643920868</t>
  </si>
  <si>
    <t>abd7b820f9e4e052.201.17907332019880927</t>
  </si>
  <si>
    <t>abd7b820f9e4e052.201.17907332270670975</t>
  </si>
  <si>
    <t>abd7b820f9e4e052.201.17907332657121039</t>
  </si>
  <si>
    <t>abd7b820f9e4e052.201.17907332944301097</t>
  </si>
  <si>
    <t>b951801133b1fbfb.201.17910763158232951</t>
  </si>
  <si>
    <t>b951801133b1fbfb.201.17910765642893281</t>
  </si>
  <si>
    <t>b951801133b1fbfb.201.17910765920763334</t>
  </si>
  <si>
    <t>b951801133b1fbfb.201.17910766199083392</t>
  </si>
  <si>
    <t>b951801133b1fbfb.201.17910766573563476</t>
  </si>
  <si>
    <t>b951801133b1fbfb.201.17910767140493537</t>
  </si>
  <si>
    <t>b951801133b1fbfb.201.17910767658753619</t>
  </si>
  <si>
    <t>b951801133b1fbfb.201.17910768044443679</t>
  </si>
  <si>
    <t>b951801133b1fbfb.201.17910768450313746</t>
  </si>
  <si>
    <t>b951801133b1fbfb.201.17910769005473837</t>
  </si>
  <si>
    <t>b951801133b1fbfb.201.17910769346253898</t>
  </si>
  <si>
    <t>b951801133b1fbfb.201.17910769647143969</t>
  </si>
  <si>
    <t>b951801133b1fbfb.201.17910769914354030</t>
  </si>
  <si>
    <t>b951801133b1fbfb.201.17910770943114157</t>
  </si>
  <si>
    <t>b951801133b1fbfb.201.17910771480654247</t>
  </si>
  <si>
    <t>b951801133b1fbfb.201.17910771773454307</t>
  </si>
  <si>
    <t>b951801133b1fbfb.201.17910772297334372</t>
  </si>
  <si>
    <t>b951801133b1fbfb.201.17910772975194446</t>
  </si>
  <si>
    <t>b951801133b1fbfb.201.17910773299804521</t>
  </si>
  <si>
    <t>b951801133b1fbfb.201.17910774071804644</t>
  </si>
  <si>
    <t>b951801133b1fbfb.201.17910774332534704</t>
  </si>
  <si>
    <t>b951801133b1fbfb.201.17910780984605906</t>
  </si>
  <si>
    <t>b951801133b1fbfb.201.17910781229435974</t>
  </si>
  <si>
    <t>b951801133b1fbfb.201.17910781484276032</t>
  </si>
  <si>
    <t>b951801133b1fbfb.201.17910782294326153</t>
  </si>
  <si>
    <t>b951801133b1fbfb.201.17910783663126256</t>
  </si>
  <si>
    <t>b951801133b1fbfb.201.17910784242356308</t>
  </si>
  <si>
    <t>b951801133b1fbfb.201.17910784555926359</t>
  </si>
  <si>
    <t>b951801133b1fbfb.201.17910784879786404</t>
  </si>
  <si>
    <t>b951801133b1fbfb.201.17910785204236457</t>
  </si>
  <si>
    <t>b951801133b1fbfb.201.17910785525996507</t>
  </si>
  <si>
    <t>874f36f1dc3c88b2.101.17908196996200767</t>
  </si>
  <si>
    <t>abd7b820f9e4e052.201.17907329332250486</t>
  </si>
  <si>
    <t>abd7b820f9e4e052.201.17907329610770544</t>
  </si>
  <si>
    <t>abd7b820f9e4e052.201.17907330055570585</t>
  </si>
  <si>
    <t>abd7b820f9e4e052.201.17907330314700633</t>
  </si>
  <si>
    <t>bb5e195633604e2080acb4894bec7bdf.395.17906664144158768</t>
  </si>
  <si>
    <t>50c46774ed234f7eadd45928cae2f08b.365.17906664244788218</t>
  </si>
  <si>
    <t>b5532a62759d254d.101.17908366987480635</t>
  </si>
  <si>
    <t>b5532a62759d254d.101.17908368422140838</t>
  </si>
  <si>
    <t>a0f0f58644ed83cb.101.17908349266200557</t>
  </si>
  <si>
    <t>899131ed5ec7b965.101.17906706018590974</t>
  </si>
  <si>
    <t>abd7b820f9e4e052.201.17907455371522107</t>
  </si>
  <si>
    <t>abd7b820f9e4e052.201.17907455619402156</t>
  </si>
  <si>
    <t>abd7b820f9e4e052.201.17907455913482214</t>
  </si>
  <si>
    <t>a80e048a6057226b.101.17910138476251634</t>
  </si>
  <si>
    <t>SELECT
  a.traceid,
  -- date_format(from_unixtime(CAST(CAST(a.`timestamp` AS BIGINT) / 1000 AS BIGINT)), 'yyyy:MM:dd HH:mm:ss') AS time_stamp,
  a.hitidlist,
  z.p365d_user_completion_rate,
  z.p365d_user_complete_count,
  CASE CAST(z.country AS INT)
    WHEN 1000 THEN 'China'
    WHEN 10000 THEN 'India'
    WHEN 20000 THEN 'Brazil'
    WHEN 30000 THEN 'Singapore'
    WHEN 40000 THEN 'Malaysia'
    WHEN 50000 THEN 'Philippines'
    WHEN 60000 THEN 'Mexico'
    WHEN 70000 THEN 'United States of America'
    WHEN 80000 THEN 'Taiwan'
    WHEN 90000 THEN 'Hong Kong'
    WHEN 100000 THEN 'Vietnam'
    WHEN 110000 THEN 'Thailand'
    WHEN 120000 THEN 'Indonesia'
    WHEN 130000 THEN 'Bangladesh'
    WHEN 150000 THEN 'Japan'
    WHEN 160000 THEN 'Turkey'
    WHEN 170000 THEN 'United Arab Emirates'
  ELSE NULL
  END AS country_name,
  z.user_live_days,
  z.cancellation_rate,
  z.user_id_str,
  z.is_API_corp,
  z.ep_id,
  z.model,
  z.brand,
  z.is_enterprise_corp,
  z.ip,
-- City Name Mapping from city_id_str
  CASE CAST(z.city_id_str AS INT)
    WHEN 101001 THEN 'Hanoi'
    WHEN 101002 THEN 'Ho Chi Minh City'
    WHEN 101003 THEN 'Haiphong'
    WHEN 101004 THEN 'Da Nang'
    WHEN 101005 THEN 'Can Tho'
    WHEN 101006 THEN 'Thai Nguyen'
    WHEN 31001 THEN 'Singapore'
    WHEN 41001 THEN 'Kuala Lumpur'
    WHEN 41002 THEN 'Penang'
    WHEN 41003 THEN 'Johor Bahru'
    WHEN 41004 THEN 'Malacca'
    WHEN 41005 THEN 'Kuching'
    WHEN 41006 THEN 'East Coast'
    WHEN 51001 THEN 'Manila'
    WHEN 51002 THEN 'Cebu'
    WHEN 51003 THEN 'Pampanga'
    WHEN 51004 THEN 'Cagayan'
    WHEN 51005 THEN 'Davao'
    WHEN 51006 THEN 'Iloilo'
    WHEN 51007 THEN 'Bacolod'
    WHEN 111001 THEN 'Bangkok'
    WHEN 111003 THEN 'Chonburi'
    WHEN 111004 THEN 'Khon Kaen'
    WHEN 111005 THEN 'Chiang Mai'
    WHEN 121001 THEN 'Jakarta'
    WHEN 121002 THEN 'Bandung'
    WHEN 121003 THEN 'Surabaya'
    WHEN 121004 THEN 'Cirebon'
    WHEN 121005 THEN 'Malang'
    WHEN 121007 THEN 'Semarang'
    WHEN 121008 THEN 'Yogyakarta'
    WHEN 121009 THEN 'Medan'
    WHEN 131001 THEN 'Dhaka'
    WHEN 151001 THEN 'Tokyo'
    WHEN 151002 THEN 'Kansai'
    WHEN 161001 THEN 'Istanbul'
    WHEN 171001 THEN 'Dubai'
    WHEN 171002 THEN 'Sharjah'
    WHEN 171003 THEN 'Abu Dhabi'
    WHEN 171004 THEN 'Ajman'
    WHEN 181001 THEN 'Riyadh'
    WHEN 81001 THEN 'Taipei'
    WHEN 81002 THEN 'Taichung'
    WHEN 81003 THEN 'Kaohsiung'
    WHEN 81004 THEN 'Tainan'
    WHEN 81005 THEN 'Hualien'
    WHEN 91001 THEN 'Hong Kong'
    WHEN 21001 THEN 'Sao Paulo'
    WHEN 21002 THEN 'Rio de Janeiro'
    WHEN 21003 THEN 'Belo Horizonte'
    WHEN 21004 THEN 'Curitiba'
    WHEN 21005 THEN 'Porto Alegre'
    WHEN 21006 THEN 'Brasília'
    WHEN 21007 THEN 'Goiânia'
    WHEN 21008 THEN 'Salvador'
    WHEN 21009 THEN 'Recife'
    WHEN 21010 THEN 'Fortaleza'
    WHEN 21011 THEN 'Aracaju'
    WHEN 21012 THEN 'Belém'
    WHEN 21013 THEN 'Florianópolis'
    WHEN 21014 THEN 'Ribeirão Preto'
    WHEN 21015 THEN 'Maceió'
    WHEN 21016 THEN 'São Luís'
    WHEN 21017 THEN 'Manaus'
    WHEN 21018 THEN 'Campinas'
    WHEN 61001 THEN 'Mexico City'
    ELSE 'Other / Unknown'
  END AS city_name,
  z.is_VN_first_login_city,
  z.reg_datetime
  -- date_format(from_unixtime(CAST(CAST(z.reg_time AS BIGINT) / 1000 AS BIGINT)), 'yyyy:MM:dd HH:mm:ss') AS reg_time_formatted
FROM llm_dwd.dwd_risk_avira_event_1d_in_view a
LATERAL VIEW json_tuple(
  a.snapshot,
  'p365d_user_completion_rate',
  'p365d_user_complete_count',
  'country',
  'user_live_days',
  'cancellation_rate',
  'user_id_str',
  'is_API_corp',
  'ep_id',
  'model',
  'brand',
  'is_enterprise_corp',
  'ip',
  'city_id_str',
  'is_VN_first_login_city',
  'reg_datetime'
  -- 'reg_time'
) z AS 
  p365d_user_completion_rate,
  p365d_user_complete_count,
  country,
  user_live_days,
  cancellation_rate,
  user_id_str,
  is_API_corp,
  ep_id,
  model,
  brand,
  is_enterprise_corp,
  ip,
  city_id_str,
  is_VN_first_login_city,
  reg_datetime
  -- reg_time
WHERE a.dt BETWEEN '2026-09-29' AND '2026-10-07'
  AND a.hitidlist IS NOT NULL
  -- Matches standalone ID 1254 safely at the start, middle, or end of hitidlist
  AND a.hitidlist RLIKE '(^|[^0-9])1254([^0-9]|$)'
  -- Vietnam Market Filter
  AND z.country = 100000;</t>
  </si>
  <si>
    <t>user_id</t>
  </si>
  <si>
    <t>register_time</t>
  </si>
  <si>
    <t>phone_no</t>
  </si>
  <si>
    <t>email</t>
  </si>
  <si>
    <t>last_name</t>
  </si>
  <si>
    <t>first_name</t>
  </si>
  <si>
    <t>city_id</t>
  </si>
  <si>
    <t>first_login_country</t>
  </si>
  <si>
    <t>total_create_cnt</t>
  </si>
  <si>
    <t>total_complete_cnt</t>
  </si>
  <si>
    <t>days_since_register</t>
  </si>
  <si>
    <t>first_create_time_local</t>
  </si>
  <si>
    <t>first_completed_order_time_local</t>
  </si>
  <si>
    <t>last_create_time_local</t>
  </si>
  <si>
    <t>last_complete_time_local</t>
  </si>
  <si>
    <t>is_corp</t>
  </si>
  <si>
    <t>ban_status</t>
  </si>
  <si>
    <t>lifetime_completion_rate</t>
  </si>
  <si>
    <t>ban_reason</t>
  </si>
  <si>
    <t>ban_datetime</t>
  </si>
  <si>
    <t>AES_DqKAiwkGfv8opG24IVeCuA==</t>
  </si>
  <si>
    <t>AES_DWRWcCotVf0lv/X2b3GSqbNV2XTl7G3vS91UHH/mnPw=</t>
  </si>
  <si>
    <t>Đại</t>
  </si>
  <si>
    <t>Huy</t>
  </si>
  <si>
    <t>2021-12-16 20:58:45</t>
  </si>
  <si>
    <t>2021-12-17 13:42:54</t>
  </si>
  <si>
    <t>2026-10-06 16:43:38</t>
  </si>
  <si>
    <t>2026-10-06 18:22:41</t>
  </si>
  <si>
    <t>Corp</t>
  </si>
  <si>
    <t>NOT BAN</t>
  </si>
  <si>
    <t>AES_EG80BwxLXBc5gsIUr+RgzQ==</t>
  </si>
  <si>
    <t>AES_9KLxXiqNdWU672ajoJpJTnHW6OsU+dpF0iYwqr8bjhU=</t>
  </si>
  <si>
    <t>2026-09-28 12:35:45</t>
  </si>
  <si>
    <t>2026-10-06 17:03:16</t>
  </si>
  <si>
    <t>No</t>
  </si>
  <si>
    <t>AES_7v36CSZECOTKF6X0j++5Zw==</t>
  </si>
  <si>
    <t>2026-10-05 14:30:55</t>
  </si>
  <si>
    <t>2026-10-06 08:30:00</t>
  </si>
  <si>
    <t>2026-10-06 08:38:33</t>
  </si>
  <si>
    <t>2026-10-06 14:58:15</t>
  </si>
  <si>
    <t>AES_ix/FvG/7btkunwlUDnmqWg==</t>
  </si>
  <si>
    <t>2026-10-05 07:43:51</t>
  </si>
  <si>
    <t>2026-10-06 08:01:56</t>
  </si>
  <si>
    <t>BANNED</t>
  </si>
  <si>
    <t>AES_xwyzDKslXc9VZFphjS9mEQ==</t>
  </si>
  <si>
    <t>2026-10-03 07:17:04</t>
  </si>
  <si>
    <t>2026-10-03 07:54:00</t>
  </si>
  <si>
    <t>2026-10-05 08:41:13</t>
  </si>
  <si>
    <t>2026-10-04 10:20:57</t>
  </si>
  <si>
    <t>Place over 200 fake orders</t>
  </si>
  <si>
    <t>2026-10-05 10:11:24</t>
  </si>
  <si>
    <t>AES_s/vbdxZq2e28WUoH7sGCDg==</t>
  </si>
  <si>
    <t>ThiênDao</t>
  </si>
  <si>
    <t>2026-09-14 06:57:53</t>
  </si>
  <si>
    <t>2026-10-01 07:54:17</t>
  </si>
  <si>
    <t>Placed over 400 fake orders</t>
  </si>
  <si>
    <t>2026-10-01 10:11:17</t>
  </si>
  <si>
    <t>AES_XGYvrnJGAABTi9IWL0LieA==</t>
  </si>
  <si>
    <t>2026-09-30 14:14:57</t>
  </si>
  <si>
    <t>2026-10-01 14:49:30</t>
  </si>
  <si>
    <t>Placed over 50 fake orders</t>
  </si>
  <si>
    <t>2026-10-01 18:32:30</t>
  </si>
  <si>
    <t>AES_XpZ/LaFoTNpmRUc7CnYG3g==</t>
  </si>
  <si>
    <t>AES_LWJW00rBiGwJcIdUU61eXCb28yKSv7myY4Ag5YbWx2U=</t>
  </si>
  <si>
    <t>Huỳnh</t>
  </si>
  <si>
    <t>Cô Kim</t>
  </si>
  <si>
    <t>2024-11-26 14:07:25</t>
  </si>
  <si>
    <t>2024-11-26 14:43:10</t>
  </si>
  <si>
    <t>2026-10-06 16:48:00</t>
  </si>
  <si>
    <t>2026-10-04 13:15:16</t>
  </si>
  <si>
    <t>AES_IiT8y80Jnp/f8LfpZLCxow==</t>
  </si>
  <si>
    <t>2026-09-20 18:45:41</t>
  </si>
  <si>
    <t>2026-09-20 19:06:00</t>
  </si>
  <si>
    <t>2026-10-02 15:54:14</t>
  </si>
  <si>
    <t>2026-10-01 12:14:29</t>
  </si>
  <si>
    <t>AES_V4dvC/sqXNn0qrnWJmmHMQ==</t>
  </si>
  <si>
    <t>AES_l8FfDv3IKtVsMGjerM0Iy/fOgr7Bs2FRt3/ptRK34Eo=</t>
  </si>
  <si>
    <t>Huyền</t>
  </si>
  <si>
    <t>Trần</t>
  </si>
  <si>
    <t>2026-08-28 19:55:25</t>
  </si>
  <si>
    <t>2026-09-25 14:15:07</t>
  </si>
  <si>
    <t>2026-10-05 15:09:50</t>
  </si>
  <si>
    <t>2026-10-02 17:55:50</t>
  </si>
  <si>
    <t>AES_L8tz9PT1VSTa4ryTtq7LsQ==</t>
  </si>
  <si>
    <t>AES_hPS73uQEDXVPHo5ViFgzHRZlYZDEw44o767790r1V50=</t>
  </si>
  <si>
    <t>gia bảo</t>
  </si>
  <si>
    <t>kho</t>
  </si>
  <si>
    <t>2025-08-29 14:49:19</t>
  </si>
  <si>
    <t>2025-11-28 15:38:05</t>
  </si>
  <si>
    <t>2026-10-01 09:28:21</t>
  </si>
  <si>
    <t>2026-10-01 10:37:35</t>
  </si>
  <si>
    <t>AES_qHC9MagdRDI62G0W6TMh+A==</t>
  </si>
  <si>
    <t>2025-12-27 15:03:28</t>
  </si>
  <si>
    <t>2025-12-27 15:13:28</t>
  </si>
  <si>
    <t>2026-10-06 09:17:20</t>
  </si>
  <si>
    <t>2026-10-01 10:56:30</t>
  </si>
  <si>
    <t>AES_MilW1Wn8TQpjv/A3vZt8tQ==</t>
  </si>
  <si>
    <t>AES_VQXYyA5RCmojMUlw2W2HYKvB20Vjj3CSRyRfhnoOS20=</t>
  </si>
  <si>
    <t>2026-01-28 11:49:19</t>
  </si>
  <si>
    <t>2026-10-01 13:13:34</t>
  </si>
  <si>
    <t>AES_WZtVo8hdLFv15QVEovBdBA==</t>
  </si>
  <si>
    <t>AES_hHf1BAWfQGHEnmtbz679EcFdDX0vTrNcBbGS1f4xtnM=</t>
  </si>
  <si>
    <t>Thanh</t>
  </si>
  <si>
    <t>Van</t>
  </si>
  <si>
    <t>2026-05-07 05:08:04</t>
  </si>
  <si>
    <t>2026-08-27 08:51:45</t>
  </si>
  <si>
    <t>2026-10-04 11:53:18</t>
  </si>
  <si>
    <t>2026-08-27 10:32:17</t>
  </si>
  <si>
    <t>AES_1sgeR320aAvwJnXQmHD60Q==</t>
  </si>
  <si>
    <t>AES_j70m5TGl6uMXiiRnTJ/mGUsIf+EcNB1RMM1p6vN0gG8=</t>
  </si>
  <si>
    <t>Vĩnh Nghi</t>
  </si>
  <si>
    <t>2026-03-30 17:31:17</t>
  </si>
  <si>
    <t>2026-10-04 16:18:44</t>
  </si>
  <si>
    <t>Placed over 20 fake orders</t>
  </si>
  <si>
    <t>User Athena Link</t>
  </si>
  <si>
    <t>User ID</t>
  </si>
  <si>
    <t>Register time</t>
  </si>
  <si>
    <t>Status</t>
  </si>
  <si>
    <t>Corp?</t>
  </si>
  <si>
    <t>Flag order count</t>
  </si>
  <si>
    <t>Ban reason</t>
  </si>
  <si>
    <t>Ban date</t>
  </si>
  <si>
    <t>Account age (days)</t>
  </si>
  <si>
    <t>Lifetime_completion_rate</t>
  </si>
  <si>
    <t>TP/FP</t>
  </si>
  <si>
    <t>TP</t>
  </si>
  <si>
    <t>FP</t>
  </si>
  <si>
    <t>protest?</t>
  </si>
  <si>
    <t>preic</t>
  </si>
  <si>
    <t>hit_count(order)</t>
  </si>
  <si>
    <t>hit_count(user)</t>
  </si>
  <si>
    <t>hit_rate(order)%</t>
  </si>
  <si>
    <t>hit_rate(user)%</t>
  </si>
  <si>
    <t>Account level</t>
  </si>
  <si>
    <t>Metric</t>
  </si>
  <si>
    <t>Strategy Observation</t>
  </si>
  <si>
    <t>True Positives (Accounts)</t>
  </si>
  <si>
    <t>False Positives (Accounts)</t>
  </si>
  <si>
    <t>Account Precision</t>
  </si>
  <si>
    <t>Order level</t>
  </si>
  <si>
    <t>Hit Rate (%)</t>
  </si>
  <si>
    <t>Hit Count (Orders)</t>
  </si>
  <si>
    <t>True Positives (Orders)</t>
  </si>
  <si>
    <t>False Positives (Orders)</t>
  </si>
  <si>
    <t>Order Precision</t>
  </si>
  <si>
    <t>80.00% (12 / 15)</t>
  </si>
  <si>
    <t>85.57% (172 / 201)</t>
  </si>
  <si>
    <t>0.00253%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</si>
</sst>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70" formatCode="0.00000"/>
  </numFmts>
  <fonts count="4" x14ac:knownFonts="1">
    <font>
      <sz val="11"/>
      <color indexed="8"/>
      <name val="Aptos Narrow"/>
      <family val="2"/>
      <scheme val="minor"/>
    </font>
    <font>
      <sz val="11"/>
      <color indexed="8"/>
      <name val="Aptos Narrow"/>
      <family val="2"/>
      <scheme val="minor"/>
    </font>
    <font>
      <u/>
      <sz val="11"/>
      <color theme="10"/>
      <name val="Aptos Narrow"/>
      <family val="2"/>
      <scheme val="minor"/>
    </font>
    <font>
      <sz val="10"/>
      <color rgb="FF000000"/>
      <name val="Aptos Narrow"/>
      <family val="2"/>
      <scheme val="minor"/>
    </font>
  </fonts>
  <fills count="3">
    <fill>
      <patternFill patternType="none"/>
    </fill>
    <fill>
      <patternFill patternType="gray125"/>
    </fill>
    <fill>
      <patternFill patternType="solid">
        <fgColor rgb="FFD9F3FD"/>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DEE0E3"/>
      </left>
      <right style="thin">
        <color rgb="FF000000"/>
      </right>
      <top style="thin">
        <color rgb="FF000000"/>
      </top>
      <bottom style="thin">
        <color rgb="FF000000"/>
      </bottom>
      <diagonal/>
    </border>
    <border>
      <left style="thin">
        <color rgb="FFDEE0E3"/>
      </left>
      <right style="thin">
        <color rgb="FFDEE0E3"/>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DEE0E3"/>
      </left>
      <right style="thin">
        <color rgb="FFDEE0E3"/>
      </right>
      <top style="thin">
        <color rgb="FFDEE0E3"/>
      </top>
      <bottom style="thin">
        <color rgb="FFDEE0E3"/>
      </bottom>
      <diagonal/>
    </border>
    <border>
      <left style="thin">
        <color rgb="FF000000"/>
      </left>
      <right style="thin">
        <color rgb="FF000000"/>
      </right>
      <top style="thin">
        <color rgb="FFDEE0E3"/>
      </top>
      <bottom style="thin">
        <color rgb="FF000000"/>
      </bottom>
      <diagonal/>
    </border>
    <border>
      <left style="thin">
        <color rgb="FFDEE0E3"/>
      </left>
      <right style="thin">
        <color rgb="FF000000"/>
      </right>
      <top style="thin">
        <color rgb="FFDEE0E3"/>
      </top>
      <bottom style="thin">
        <color rgb="FF000000"/>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18">
    <xf numFmtId="0" fontId="0" fillId="0" borderId="0" xfId="0"/>
    <xf numFmtId="0" fontId="0" fillId="0" borderId="0" xfId="0" applyAlignment="1">
      <alignment vertical="top" wrapText="1"/>
    </xf>
    <xf numFmtId="164" fontId="0" fillId="0" borderId="0" xfId="0" applyNumberFormat="1"/>
    <xf numFmtId="0" fontId="3" fillId="2" borderId="1" xfId="0" applyFont="1" applyFill="1" applyBorder="1"/>
    <xf numFmtId="0" fontId="3" fillId="2" borderId="2" xfId="0" applyFont="1" applyFill="1" applyBorder="1"/>
    <xf numFmtId="0" fontId="3" fillId="2" borderId="2" xfId="0" applyFont="1" applyFill="1" applyBorder="1" applyAlignment="1">
      <alignment horizontal="center" vertical="center"/>
    </xf>
    <xf numFmtId="0" fontId="3" fillId="2" borderId="3" xfId="0" applyFont="1" applyFill="1" applyBorder="1"/>
    <xf numFmtId="0" fontId="3" fillId="2" borderId="4" xfId="0" applyFont="1" applyFill="1" applyBorder="1"/>
    <xf numFmtId="0" fontId="3" fillId="2" borderId="4" xfId="0" applyFont="1" applyFill="1" applyBorder="1" applyAlignment="1">
      <alignment vertical="center"/>
    </xf>
    <xf numFmtId="0" fontId="2" fillId="0" borderId="0" xfId="2"/>
    <xf numFmtId="10" fontId="0" fillId="0" borderId="0" xfId="1" applyNumberFormat="1" applyFont="1"/>
    <xf numFmtId="170" fontId="0" fillId="0" borderId="0" xfId="0" applyNumberFormat="1"/>
    <xf numFmtId="0" fontId="3" fillId="0" borderId="5" xfId="0" applyFont="1" applyBorder="1"/>
    <xf numFmtId="0" fontId="3" fillId="0" borderId="1" xfId="0" applyFont="1" applyBorder="1"/>
    <xf numFmtId="0" fontId="3" fillId="0" borderId="2" xfId="0" applyFont="1" applyBorder="1"/>
    <xf numFmtId="0" fontId="3" fillId="0" borderId="6" xfId="0" applyFont="1" applyBorder="1"/>
    <xf numFmtId="0" fontId="3" fillId="0" borderId="7" xfId="0" applyFont="1" applyBorder="1"/>
    <xf numFmtId="0" fontId="3" fillId="0" borderId="7" xfId="0" quotePrefix="1" applyNumberFormat="1" applyFont="1" applyBorder="1" applyAlignment="1">
      <alignment horizontal="right"/>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https://statistics.huolala.cn/hello/word?i=eyJ3YXRlcm1hcmtBdXRob3IiOiJCUSIsImFjY291bnQiOiJ3ZWkua2MiLCJpcCI6IjEyNy4wLjAuMSIsImRhdGUiOjE3OTEzNjIzODY2NTksImZpbGVOYW1lIjoiLi9kb3dubG9hZC1yZWFkeS96dXFtNnc3Nl8xOTdnaXVuMy54bHN4IiwiaXNTZW5zaXRpdmUiOmZhbHNlLCJzZW5zaXRpdmVMZXZlbCI6IkMxIiwidXJsIjoiIiwib3RoZXIiOiIiLCJpc0VuY3J5cHQiOnRydWUsInBhc3N3b3JkIjoiMTk3Z2l1bjMifQ==" TargetMode="External"/></Relationships>
</file>

<file path=xl/drawings/drawing1.xml><?xml version="1.0" encoding="utf-8"?>
<xdr:wsDr xmlns:xdr="http://schemas.openxmlformats.org/drawingml/2006/spreadsheetDrawing" xmlns:a="http://schemas.openxmlformats.org/drawingml/2006/main">
  <xdr:twoCellAnchor>
    <xdr:from>
      <xdr:col>1234</xdr:col>
      <xdr:colOff>0</xdr:colOff>
      <xdr:row>4321</xdr:row>
      <xdr:rowOff>0</xdr:rowOff>
    </xdr:from>
    <xdr:to>
      <xdr:col>1234</xdr:col>
      <xdr:colOff>9525</xdr:colOff>
      <xdr:row>4321</xdr:row>
      <xdr:rowOff>9525</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9525" cy="9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2C1D-6CDE-4113-8BFE-B107DD57CFD6}">
  <dimension ref="A1"/>
  <sheetViews>
    <sheetView workbookViewId="0">
      <selection activeCell="C1" sqref="C1"/>
    </sheetView>
  </sheetViews>
  <sheetFormatPr defaultRowHeight="14.4" x14ac:dyDescent="0.3"/>
  <cols>
    <col min="1" max="1" width="87.88671875" customWidth="1"/>
  </cols>
  <sheetData>
    <row r="1" spans="1:1" ht="409.6" x14ac:dyDescent="0.3">
      <c r="A1" s="1" t="s">
        <v>253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2"/>
  <sheetViews>
    <sheetView workbookViewId="0"/>
  </sheetViews>
  <sheetFormatPr defaultRowHeight="14.4" x14ac:dyDescent="0.3"/>
  <cols>
    <col min="3" max="3" width="24.44140625" bestFit="1" customWidth="1"/>
    <col min="4" max="4" width="24.33203125" bestFit="1" customWidth="1"/>
    <col min="5" max="5" width="12.33203125" bestFit="1" customWidth="1"/>
    <col min="6" max="6" width="12.44140625" bestFit="1" customWidth="1"/>
    <col min="7" max="7" width="19.77734375" bestFit="1" customWidth="1"/>
    <col min="8" max="8" width="9.6640625" bestFit="1" customWidth="1"/>
    <col min="9" max="9" width="10" bestFit="1" customWidth="1"/>
    <col min="10" max="10" width="11" bestFit="1" customWidth="1"/>
    <col min="11" max="11" width="15.6640625" bestFit="1" customWidth="1"/>
    <col min="12" max="12" width="5.6640625" bestFit="1" customWidth="1"/>
    <col min="13" max="13" width="15.88671875" bestFit="1" customWidth="1"/>
    <col min="14" max="14" width="8.6640625" bestFit="1" customWidth="1"/>
    <col min="15" max="15" width="14" bestFit="1" customWidth="1"/>
    <col min="16" max="16" width="17" bestFit="1" customWidth="1"/>
    <col min="17" max="17" width="18"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v>0.14371002132196101</v>
      </c>
      <c r="D2">
        <v>337</v>
      </c>
      <c r="E2" t="s">
        <v>19</v>
      </c>
      <c r="F2">
        <v>2350</v>
      </c>
      <c r="G2">
        <v>0.890625</v>
      </c>
      <c r="H2">
        <v>8200826</v>
      </c>
      <c r="I2" t="s">
        <v>20</v>
      </c>
      <c r="J2">
        <v>922514082</v>
      </c>
      <c r="K2" t="s">
        <v>21</v>
      </c>
      <c r="L2" t="s">
        <v>22</v>
      </c>
      <c r="M2" t="s">
        <v>20</v>
      </c>
      <c r="N2" t="s">
        <v>23</v>
      </c>
      <c r="O2" t="s">
        <v>24</v>
      </c>
      <c r="P2" t="s">
        <v>25</v>
      </c>
      <c r="Q2" t="s">
        <v>26</v>
      </c>
    </row>
    <row r="3" spans="1:17" x14ac:dyDescent="0.3">
      <c r="A3" t="s">
        <v>27</v>
      </c>
      <c r="B3" t="s">
        <v>18</v>
      </c>
      <c r="C3">
        <v>0.14371002132196101</v>
      </c>
      <c r="D3">
        <v>337</v>
      </c>
      <c r="E3" t="s">
        <v>19</v>
      </c>
      <c r="F3">
        <v>2350</v>
      </c>
      <c r="G3">
        <v>0.89230769230769202</v>
      </c>
      <c r="H3">
        <v>8200826</v>
      </c>
      <c r="I3" t="s">
        <v>20</v>
      </c>
      <c r="J3">
        <v>922514082</v>
      </c>
      <c r="K3" t="s">
        <v>21</v>
      </c>
      <c r="L3" t="s">
        <v>22</v>
      </c>
      <c r="M3" t="s">
        <v>20</v>
      </c>
      <c r="N3" t="s">
        <v>23</v>
      </c>
      <c r="O3" t="s">
        <v>24</v>
      </c>
      <c r="P3" t="s">
        <v>25</v>
      </c>
      <c r="Q3" t="s">
        <v>26</v>
      </c>
    </row>
    <row r="4" spans="1:17" x14ac:dyDescent="0.3">
      <c r="A4" t="s">
        <v>28</v>
      </c>
      <c r="B4" t="s">
        <v>18</v>
      </c>
      <c r="C4">
        <v>0.14371002132196101</v>
      </c>
      <c r="D4">
        <v>337</v>
      </c>
      <c r="E4" t="s">
        <v>19</v>
      </c>
      <c r="F4">
        <v>2350</v>
      </c>
      <c r="G4">
        <v>0.87878787878787801</v>
      </c>
      <c r="H4">
        <v>8200826</v>
      </c>
      <c r="I4" t="s">
        <v>20</v>
      </c>
      <c r="J4">
        <v>922514082</v>
      </c>
      <c r="K4" t="s">
        <v>21</v>
      </c>
      <c r="L4" t="s">
        <v>22</v>
      </c>
      <c r="M4" t="s">
        <v>20</v>
      </c>
      <c r="N4" t="s">
        <v>23</v>
      </c>
      <c r="O4" t="s">
        <v>24</v>
      </c>
      <c r="P4" t="s">
        <v>25</v>
      </c>
      <c r="Q4" t="s">
        <v>26</v>
      </c>
    </row>
    <row r="5" spans="1:17" x14ac:dyDescent="0.3">
      <c r="A5" t="s">
        <v>29</v>
      </c>
      <c r="B5" t="s">
        <v>18</v>
      </c>
      <c r="C5">
        <v>0.14371002132196101</v>
      </c>
      <c r="D5">
        <v>337</v>
      </c>
      <c r="E5" t="s">
        <v>19</v>
      </c>
      <c r="F5">
        <v>2350</v>
      </c>
      <c r="G5">
        <v>0.87878787878787801</v>
      </c>
      <c r="H5">
        <v>8200826</v>
      </c>
      <c r="I5" t="s">
        <v>20</v>
      </c>
      <c r="J5">
        <v>922514082</v>
      </c>
      <c r="K5" t="s">
        <v>21</v>
      </c>
      <c r="L5" t="s">
        <v>22</v>
      </c>
      <c r="M5" t="s">
        <v>20</v>
      </c>
      <c r="N5" t="s">
        <v>23</v>
      </c>
      <c r="O5" t="s">
        <v>24</v>
      </c>
      <c r="P5" t="s">
        <v>25</v>
      </c>
      <c r="Q5" t="s">
        <v>26</v>
      </c>
    </row>
    <row r="6" spans="1:17" x14ac:dyDescent="0.3">
      <c r="A6" t="s">
        <v>30</v>
      </c>
      <c r="B6" t="s">
        <v>18</v>
      </c>
      <c r="C6">
        <v>0.14371002132196101</v>
      </c>
      <c r="D6">
        <v>337</v>
      </c>
      <c r="E6" t="s">
        <v>19</v>
      </c>
      <c r="F6">
        <v>2350</v>
      </c>
      <c r="G6">
        <v>0.86567164179104406</v>
      </c>
      <c r="H6">
        <v>8200826</v>
      </c>
      <c r="I6" t="s">
        <v>20</v>
      </c>
      <c r="J6">
        <v>922514082</v>
      </c>
      <c r="K6" t="s">
        <v>21</v>
      </c>
      <c r="L6" t="s">
        <v>22</v>
      </c>
      <c r="M6" t="s">
        <v>20</v>
      </c>
      <c r="N6" t="s">
        <v>23</v>
      </c>
      <c r="O6" t="s">
        <v>24</v>
      </c>
      <c r="P6" t="s">
        <v>25</v>
      </c>
      <c r="Q6" t="s">
        <v>26</v>
      </c>
    </row>
    <row r="7" spans="1:17" x14ac:dyDescent="0.3">
      <c r="A7" t="s">
        <v>31</v>
      </c>
      <c r="B7" t="s">
        <v>18</v>
      </c>
      <c r="C7">
        <v>0</v>
      </c>
      <c r="D7">
        <v>0</v>
      </c>
      <c r="E7" t="s">
        <v>19</v>
      </c>
      <c r="F7">
        <v>22</v>
      </c>
      <c r="G7">
        <v>0.91666666666666596</v>
      </c>
      <c r="H7">
        <v>44465314</v>
      </c>
      <c r="I7" t="s">
        <v>20</v>
      </c>
      <c r="J7">
        <v>0</v>
      </c>
      <c r="K7" t="s">
        <v>32</v>
      </c>
      <c r="L7" t="s">
        <v>22</v>
      </c>
      <c r="M7" t="s">
        <v>20</v>
      </c>
      <c r="N7" t="s">
        <v>23</v>
      </c>
      <c r="O7" t="s">
        <v>24</v>
      </c>
      <c r="P7" t="s">
        <v>25</v>
      </c>
      <c r="Q7" t="s">
        <v>33</v>
      </c>
    </row>
    <row r="8" spans="1:17" x14ac:dyDescent="0.3">
      <c r="A8" t="s">
        <v>34</v>
      </c>
      <c r="B8" t="s">
        <v>18</v>
      </c>
      <c r="C8">
        <v>0.143098353735753</v>
      </c>
      <c r="D8">
        <v>339</v>
      </c>
      <c r="E8" t="s">
        <v>19</v>
      </c>
      <c r="F8">
        <v>2351</v>
      </c>
      <c r="G8">
        <v>0.77272727272727204</v>
      </c>
      <c r="H8">
        <v>8200826</v>
      </c>
      <c r="I8" t="s">
        <v>20</v>
      </c>
      <c r="J8">
        <v>922514082</v>
      </c>
      <c r="K8" t="s">
        <v>21</v>
      </c>
      <c r="L8" t="s">
        <v>22</v>
      </c>
      <c r="M8" t="s">
        <v>20</v>
      </c>
      <c r="N8" t="s">
        <v>23</v>
      </c>
      <c r="O8" t="s">
        <v>24</v>
      </c>
      <c r="P8" t="s">
        <v>25</v>
      </c>
      <c r="Q8" t="s">
        <v>26</v>
      </c>
    </row>
    <row r="9" spans="1:17" x14ac:dyDescent="0.3">
      <c r="A9" t="s">
        <v>35</v>
      </c>
      <c r="B9" t="s">
        <v>18</v>
      </c>
      <c r="C9">
        <v>0.143098353735753</v>
      </c>
      <c r="D9">
        <v>339</v>
      </c>
      <c r="E9" t="s">
        <v>19</v>
      </c>
      <c r="F9">
        <v>2351</v>
      </c>
      <c r="G9">
        <v>0.76404494382022403</v>
      </c>
      <c r="H9">
        <v>8200826</v>
      </c>
      <c r="I9" t="s">
        <v>20</v>
      </c>
      <c r="J9">
        <v>922514082</v>
      </c>
      <c r="K9" t="s">
        <v>21</v>
      </c>
      <c r="L9" t="s">
        <v>22</v>
      </c>
      <c r="M9" t="s">
        <v>20</v>
      </c>
      <c r="N9" t="s">
        <v>23</v>
      </c>
      <c r="O9" t="s">
        <v>24</v>
      </c>
      <c r="P9" t="s">
        <v>25</v>
      </c>
      <c r="Q9" t="s">
        <v>26</v>
      </c>
    </row>
    <row r="10" spans="1:17" x14ac:dyDescent="0.3">
      <c r="A10" t="s">
        <v>36</v>
      </c>
      <c r="B10" t="s">
        <v>18</v>
      </c>
      <c r="C10">
        <v>0.143098353735753</v>
      </c>
      <c r="D10">
        <v>339</v>
      </c>
      <c r="E10" t="s">
        <v>19</v>
      </c>
      <c r="F10">
        <v>2351</v>
      </c>
      <c r="G10">
        <v>0.75555555555555498</v>
      </c>
      <c r="H10">
        <v>8200826</v>
      </c>
      <c r="I10" t="s">
        <v>20</v>
      </c>
      <c r="J10">
        <v>922514082</v>
      </c>
      <c r="K10" t="s">
        <v>21</v>
      </c>
      <c r="L10" t="s">
        <v>22</v>
      </c>
      <c r="M10" t="s">
        <v>20</v>
      </c>
      <c r="N10" t="s">
        <v>23</v>
      </c>
      <c r="O10" t="s">
        <v>24</v>
      </c>
      <c r="P10" t="s">
        <v>25</v>
      </c>
      <c r="Q10" t="s">
        <v>26</v>
      </c>
    </row>
    <row r="11" spans="1:17" x14ac:dyDescent="0.3">
      <c r="A11" t="s">
        <v>37</v>
      </c>
      <c r="B11" t="s">
        <v>18</v>
      </c>
      <c r="C11">
        <v>0.143098353735753</v>
      </c>
      <c r="D11">
        <v>339</v>
      </c>
      <c r="E11" t="s">
        <v>19</v>
      </c>
      <c r="F11">
        <v>2351</v>
      </c>
      <c r="G11">
        <v>0.82926829268292601</v>
      </c>
      <c r="H11">
        <v>8200826</v>
      </c>
      <c r="I11" t="s">
        <v>20</v>
      </c>
      <c r="J11">
        <v>922514082</v>
      </c>
      <c r="K11" t="s">
        <v>21</v>
      </c>
      <c r="L11" t="s">
        <v>22</v>
      </c>
      <c r="M11" t="s">
        <v>20</v>
      </c>
      <c r="N11" t="s">
        <v>23</v>
      </c>
      <c r="O11" t="s">
        <v>24</v>
      </c>
      <c r="P11" t="s">
        <v>25</v>
      </c>
      <c r="Q11" t="s">
        <v>26</v>
      </c>
    </row>
    <row r="12" spans="1:17" x14ac:dyDescent="0.3">
      <c r="A12" t="s">
        <v>38</v>
      </c>
      <c r="B12" t="s">
        <v>18</v>
      </c>
      <c r="C12">
        <v>0.143098353735753</v>
      </c>
      <c r="D12">
        <v>339</v>
      </c>
      <c r="E12" t="s">
        <v>19</v>
      </c>
      <c r="F12">
        <v>2351</v>
      </c>
      <c r="G12">
        <v>0.81927710843373402</v>
      </c>
      <c r="H12">
        <v>8200826</v>
      </c>
      <c r="I12" t="s">
        <v>20</v>
      </c>
      <c r="J12">
        <v>922514082</v>
      </c>
      <c r="K12" t="s">
        <v>21</v>
      </c>
      <c r="L12" t="s">
        <v>22</v>
      </c>
      <c r="M12" t="s">
        <v>20</v>
      </c>
      <c r="N12" t="s">
        <v>23</v>
      </c>
      <c r="O12" t="s">
        <v>24</v>
      </c>
      <c r="P12" t="s">
        <v>25</v>
      </c>
      <c r="Q12" t="s">
        <v>26</v>
      </c>
    </row>
    <row r="13" spans="1:17" x14ac:dyDescent="0.3">
      <c r="A13" t="s">
        <v>39</v>
      </c>
      <c r="B13" t="s">
        <v>18</v>
      </c>
      <c r="C13">
        <v>0</v>
      </c>
      <c r="D13">
        <v>0</v>
      </c>
      <c r="E13" t="s">
        <v>19</v>
      </c>
      <c r="F13">
        <v>1</v>
      </c>
      <c r="G13">
        <v>0</v>
      </c>
      <c r="H13">
        <v>45055754</v>
      </c>
      <c r="I13" t="s">
        <v>20</v>
      </c>
      <c r="J13">
        <v>0</v>
      </c>
      <c r="K13" t="s">
        <v>40</v>
      </c>
      <c r="L13" t="s">
        <v>22</v>
      </c>
      <c r="M13" t="s">
        <v>20</v>
      </c>
      <c r="N13" t="s">
        <v>23</v>
      </c>
      <c r="O13" t="s">
        <v>41</v>
      </c>
      <c r="P13" t="s">
        <v>25</v>
      </c>
      <c r="Q13" t="s">
        <v>42</v>
      </c>
    </row>
    <row r="14" spans="1:17" x14ac:dyDescent="0.3">
      <c r="A14" t="s">
        <v>43</v>
      </c>
      <c r="B14" t="s">
        <v>18</v>
      </c>
      <c r="C14">
        <v>0</v>
      </c>
      <c r="D14">
        <v>0</v>
      </c>
      <c r="E14" t="s">
        <v>19</v>
      </c>
      <c r="F14">
        <v>1</v>
      </c>
      <c r="G14">
        <v>0</v>
      </c>
      <c r="H14">
        <v>45055754</v>
      </c>
      <c r="I14" t="s">
        <v>20</v>
      </c>
      <c r="J14">
        <v>0</v>
      </c>
      <c r="K14" t="s">
        <v>40</v>
      </c>
      <c r="L14" t="s">
        <v>22</v>
      </c>
      <c r="M14" t="s">
        <v>20</v>
      </c>
      <c r="N14" t="s">
        <v>23</v>
      </c>
      <c r="O14" t="s">
        <v>41</v>
      </c>
      <c r="P14" t="s">
        <v>25</v>
      </c>
      <c r="Q14" t="s">
        <v>42</v>
      </c>
    </row>
    <row r="15" spans="1:17" x14ac:dyDescent="0.3">
      <c r="A15" t="s">
        <v>44</v>
      </c>
      <c r="B15" t="s">
        <v>18</v>
      </c>
      <c r="C15">
        <v>0</v>
      </c>
      <c r="D15">
        <v>0</v>
      </c>
      <c r="E15" t="s">
        <v>19</v>
      </c>
      <c r="F15">
        <v>1</v>
      </c>
      <c r="G15">
        <v>0</v>
      </c>
      <c r="H15">
        <v>45055754</v>
      </c>
      <c r="I15" t="s">
        <v>20</v>
      </c>
      <c r="J15">
        <v>0</v>
      </c>
      <c r="K15" t="s">
        <v>40</v>
      </c>
      <c r="L15" t="s">
        <v>22</v>
      </c>
      <c r="M15" t="s">
        <v>20</v>
      </c>
      <c r="N15" t="s">
        <v>23</v>
      </c>
      <c r="O15" t="s">
        <v>41</v>
      </c>
      <c r="P15" t="s">
        <v>25</v>
      </c>
      <c r="Q15" t="s">
        <v>42</v>
      </c>
    </row>
    <row r="16" spans="1:17" x14ac:dyDescent="0.3">
      <c r="A16" t="s">
        <v>45</v>
      </c>
      <c r="B16" t="s">
        <v>18</v>
      </c>
      <c r="C16">
        <v>0</v>
      </c>
      <c r="D16">
        <v>0</v>
      </c>
      <c r="E16" t="s">
        <v>19</v>
      </c>
      <c r="F16">
        <v>1</v>
      </c>
      <c r="G16">
        <v>0</v>
      </c>
      <c r="H16">
        <v>45055754</v>
      </c>
      <c r="I16" t="s">
        <v>20</v>
      </c>
      <c r="J16">
        <v>0</v>
      </c>
      <c r="K16" t="s">
        <v>40</v>
      </c>
      <c r="L16" t="s">
        <v>22</v>
      </c>
      <c r="M16" t="s">
        <v>20</v>
      </c>
      <c r="N16" t="s">
        <v>23</v>
      </c>
      <c r="O16" t="s">
        <v>41</v>
      </c>
      <c r="P16" t="s">
        <v>25</v>
      </c>
      <c r="Q16" t="s">
        <v>42</v>
      </c>
    </row>
    <row r="17" spans="1:17" x14ac:dyDescent="0.3">
      <c r="A17" t="s">
        <v>46</v>
      </c>
      <c r="B17" t="s">
        <v>18</v>
      </c>
      <c r="C17">
        <v>0</v>
      </c>
      <c r="D17">
        <v>0</v>
      </c>
      <c r="E17" t="s">
        <v>19</v>
      </c>
      <c r="F17">
        <v>1</v>
      </c>
      <c r="G17">
        <v>0</v>
      </c>
      <c r="H17">
        <v>45055754</v>
      </c>
      <c r="I17" t="s">
        <v>20</v>
      </c>
      <c r="J17">
        <v>0</v>
      </c>
      <c r="K17" t="s">
        <v>40</v>
      </c>
      <c r="L17" t="s">
        <v>22</v>
      </c>
      <c r="M17" t="s">
        <v>20</v>
      </c>
      <c r="N17" t="s">
        <v>23</v>
      </c>
      <c r="O17" t="s">
        <v>41</v>
      </c>
      <c r="P17" t="s">
        <v>25</v>
      </c>
      <c r="Q17" t="s">
        <v>42</v>
      </c>
    </row>
    <row r="18" spans="1:17" x14ac:dyDescent="0.3">
      <c r="A18" t="s">
        <v>47</v>
      </c>
      <c r="B18" t="s">
        <v>18</v>
      </c>
      <c r="C18">
        <v>0</v>
      </c>
      <c r="D18">
        <v>0</v>
      </c>
      <c r="E18" t="s">
        <v>19</v>
      </c>
      <c r="F18">
        <v>1</v>
      </c>
      <c r="G18">
        <v>0</v>
      </c>
      <c r="H18">
        <v>45055754</v>
      </c>
      <c r="I18" t="s">
        <v>20</v>
      </c>
      <c r="J18">
        <v>0</v>
      </c>
      <c r="K18" t="s">
        <v>40</v>
      </c>
      <c r="L18" t="s">
        <v>22</v>
      </c>
      <c r="M18" t="s">
        <v>20</v>
      </c>
      <c r="N18" t="s">
        <v>23</v>
      </c>
      <c r="O18" t="s">
        <v>41</v>
      </c>
      <c r="P18" t="s">
        <v>25</v>
      </c>
      <c r="Q18" t="s">
        <v>42</v>
      </c>
    </row>
    <row r="19" spans="1:17" x14ac:dyDescent="0.3">
      <c r="A19" t="s">
        <v>48</v>
      </c>
      <c r="B19" t="s">
        <v>18</v>
      </c>
      <c r="C19">
        <v>0</v>
      </c>
      <c r="D19">
        <v>0</v>
      </c>
      <c r="E19" t="s">
        <v>19</v>
      </c>
      <c r="F19">
        <v>1</v>
      </c>
      <c r="G19">
        <v>0</v>
      </c>
      <c r="H19">
        <v>45055754</v>
      </c>
      <c r="I19" t="s">
        <v>20</v>
      </c>
      <c r="J19">
        <v>0</v>
      </c>
      <c r="K19" t="s">
        <v>40</v>
      </c>
      <c r="L19" t="s">
        <v>22</v>
      </c>
      <c r="M19" t="s">
        <v>20</v>
      </c>
      <c r="N19" t="s">
        <v>23</v>
      </c>
      <c r="O19" t="s">
        <v>41</v>
      </c>
      <c r="P19" t="s">
        <v>25</v>
      </c>
      <c r="Q19" t="s">
        <v>42</v>
      </c>
    </row>
    <row r="20" spans="1:17" x14ac:dyDescent="0.3">
      <c r="A20" t="s">
        <v>49</v>
      </c>
      <c r="B20" t="s">
        <v>18</v>
      </c>
      <c r="C20">
        <v>0</v>
      </c>
      <c r="D20">
        <v>0</v>
      </c>
      <c r="E20" t="s">
        <v>19</v>
      </c>
      <c r="F20">
        <v>1</v>
      </c>
      <c r="G20">
        <v>0</v>
      </c>
      <c r="H20">
        <v>45055754</v>
      </c>
      <c r="I20" t="s">
        <v>20</v>
      </c>
      <c r="J20">
        <v>0</v>
      </c>
      <c r="K20" t="s">
        <v>40</v>
      </c>
      <c r="L20" t="s">
        <v>22</v>
      </c>
      <c r="M20" t="s">
        <v>20</v>
      </c>
      <c r="N20" t="s">
        <v>23</v>
      </c>
      <c r="O20" t="s">
        <v>41</v>
      </c>
      <c r="P20" t="s">
        <v>25</v>
      </c>
      <c r="Q20" t="s">
        <v>42</v>
      </c>
    </row>
    <row r="21" spans="1:17" x14ac:dyDescent="0.3">
      <c r="A21" t="s">
        <v>50</v>
      </c>
      <c r="B21" t="s">
        <v>18</v>
      </c>
      <c r="C21">
        <v>0</v>
      </c>
      <c r="D21">
        <v>0</v>
      </c>
      <c r="E21" t="s">
        <v>19</v>
      </c>
      <c r="F21">
        <v>1</v>
      </c>
      <c r="G21">
        <v>0</v>
      </c>
      <c r="H21">
        <v>45055754</v>
      </c>
      <c r="I21" t="s">
        <v>20</v>
      </c>
      <c r="J21">
        <v>0</v>
      </c>
      <c r="K21" t="s">
        <v>40</v>
      </c>
      <c r="L21" t="s">
        <v>22</v>
      </c>
      <c r="M21" t="s">
        <v>20</v>
      </c>
      <c r="N21" t="s">
        <v>23</v>
      </c>
      <c r="O21" t="s">
        <v>41</v>
      </c>
      <c r="P21" t="s">
        <v>25</v>
      </c>
      <c r="Q21" t="s">
        <v>42</v>
      </c>
    </row>
    <row r="22" spans="1:17" x14ac:dyDescent="0.3">
      <c r="A22" t="s">
        <v>51</v>
      </c>
      <c r="B22" t="s">
        <v>18</v>
      </c>
      <c r="C22">
        <v>0</v>
      </c>
      <c r="D22">
        <v>0</v>
      </c>
      <c r="E22" t="s">
        <v>19</v>
      </c>
      <c r="F22">
        <v>1</v>
      </c>
      <c r="G22">
        <v>0</v>
      </c>
      <c r="H22">
        <v>45055754</v>
      </c>
      <c r="I22" t="s">
        <v>20</v>
      </c>
      <c r="J22">
        <v>0</v>
      </c>
      <c r="K22" t="s">
        <v>40</v>
      </c>
      <c r="L22" t="s">
        <v>22</v>
      </c>
      <c r="M22" t="s">
        <v>20</v>
      </c>
      <c r="N22" t="s">
        <v>23</v>
      </c>
      <c r="O22" t="s">
        <v>41</v>
      </c>
      <c r="P22" t="s">
        <v>25</v>
      </c>
      <c r="Q22" t="s">
        <v>42</v>
      </c>
    </row>
    <row r="23" spans="1:17" x14ac:dyDescent="0.3">
      <c r="A23" t="s">
        <v>52</v>
      </c>
      <c r="B23" t="s">
        <v>18</v>
      </c>
      <c r="C23">
        <v>0</v>
      </c>
      <c r="D23">
        <v>0</v>
      </c>
      <c r="E23" t="s">
        <v>19</v>
      </c>
      <c r="F23">
        <v>1</v>
      </c>
      <c r="G23">
        <v>0</v>
      </c>
      <c r="H23">
        <v>45055754</v>
      </c>
      <c r="I23" t="s">
        <v>20</v>
      </c>
      <c r="J23">
        <v>0</v>
      </c>
      <c r="K23" t="s">
        <v>40</v>
      </c>
      <c r="L23" t="s">
        <v>22</v>
      </c>
      <c r="M23" t="s">
        <v>20</v>
      </c>
      <c r="N23" t="s">
        <v>23</v>
      </c>
      <c r="O23" t="s">
        <v>41</v>
      </c>
      <c r="P23" t="s">
        <v>25</v>
      </c>
      <c r="Q23" t="s">
        <v>42</v>
      </c>
    </row>
    <row r="24" spans="1:17" x14ac:dyDescent="0.3">
      <c r="A24" t="s">
        <v>53</v>
      </c>
      <c r="B24" t="s">
        <v>18</v>
      </c>
      <c r="C24">
        <v>0</v>
      </c>
      <c r="D24">
        <v>0</v>
      </c>
      <c r="E24" t="s">
        <v>19</v>
      </c>
      <c r="F24">
        <v>1</v>
      </c>
      <c r="G24">
        <v>0</v>
      </c>
      <c r="H24">
        <v>45055754</v>
      </c>
      <c r="I24" t="s">
        <v>20</v>
      </c>
      <c r="J24">
        <v>0</v>
      </c>
      <c r="K24" t="s">
        <v>40</v>
      </c>
      <c r="L24" t="s">
        <v>22</v>
      </c>
      <c r="M24" t="s">
        <v>20</v>
      </c>
      <c r="N24" t="s">
        <v>23</v>
      </c>
      <c r="O24" t="s">
        <v>41</v>
      </c>
      <c r="P24" t="s">
        <v>25</v>
      </c>
      <c r="Q24" t="s">
        <v>42</v>
      </c>
    </row>
    <row r="25" spans="1:17" x14ac:dyDescent="0.3">
      <c r="A25" t="s">
        <v>54</v>
      </c>
      <c r="B25" t="s">
        <v>18</v>
      </c>
      <c r="C25">
        <v>0</v>
      </c>
      <c r="D25">
        <v>0</v>
      </c>
      <c r="E25" t="s">
        <v>19</v>
      </c>
      <c r="F25">
        <v>1</v>
      </c>
      <c r="G25">
        <v>0</v>
      </c>
      <c r="H25">
        <v>45055754</v>
      </c>
      <c r="I25" t="s">
        <v>20</v>
      </c>
      <c r="J25">
        <v>0</v>
      </c>
      <c r="K25" t="s">
        <v>40</v>
      </c>
      <c r="L25" t="s">
        <v>22</v>
      </c>
      <c r="M25" t="s">
        <v>20</v>
      </c>
      <c r="N25" t="s">
        <v>23</v>
      </c>
      <c r="O25" t="s">
        <v>41</v>
      </c>
      <c r="P25" t="s">
        <v>25</v>
      </c>
      <c r="Q25" t="s">
        <v>42</v>
      </c>
    </row>
    <row r="26" spans="1:17" x14ac:dyDescent="0.3">
      <c r="A26" t="s">
        <v>55</v>
      </c>
      <c r="B26" t="s">
        <v>18</v>
      </c>
      <c r="C26">
        <v>0</v>
      </c>
      <c r="D26">
        <v>0</v>
      </c>
      <c r="E26" t="s">
        <v>19</v>
      </c>
      <c r="F26">
        <v>1</v>
      </c>
      <c r="G26">
        <v>0</v>
      </c>
      <c r="H26">
        <v>45055754</v>
      </c>
      <c r="I26" t="s">
        <v>20</v>
      </c>
      <c r="J26">
        <v>0</v>
      </c>
      <c r="K26" t="s">
        <v>40</v>
      </c>
      <c r="L26" t="s">
        <v>22</v>
      </c>
      <c r="M26" t="s">
        <v>20</v>
      </c>
      <c r="N26" t="s">
        <v>23</v>
      </c>
      <c r="O26" t="s">
        <v>41</v>
      </c>
      <c r="P26" t="s">
        <v>25</v>
      </c>
      <c r="Q26" t="s">
        <v>42</v>
      </c>
    </row>
    <row r="27" spans="1:17" x14ac:dyDescent="0.3">
      <c r="A27" t="s">
        <v>56</v>
      </c>
      <c r="B27" t="s">
        <v>18</v>
      </c>
      <c r="C27">
        <v>0</v>
      </c>
      <c r="D27">
        <v>0</v>
      </c>
      <c r="E27" t="s">
        <v>19</v>
      </c>
      <c r="F27">
        <v>1</v>
      </c>
      <c r="G27">
        <v>0.38461538461538403</v>
      </c>
      <c r="H27">
        <v>45042918</v>
      </c>
      <c r="I27" t="s">
        <v>20</v>
      </c>
      <c r="J27">
        <v>0</v>
      </c>
      <c r="K27" t="s">
        <v>57</v>
      </c>
      <c r="L27" t="s">
        <v>22</v>
      </c>
      <c r="M27" t="s">
        <v>20</v>
      </c>
      <c r="N27" t="s">
        <v>23</v>
      </c>
      <c r="O27" t="s">
        <v>58</v>
      </c>
      <c r="P27" t="s">
        <v>25</v>
      </c>
      <c r="Q27" t="s">
        <v>59</v>
      </c>
    </row>
    <row r="28" spans="1:17" x14ac:dyDescent="0.3">
      <c r="A28" t="s">
        <v>60</v>
      </c>
      <c r="B28" t="s">
        <v>18</v>
      </c>
      <c r="C28">
        <v>0.144568006843455</v>
      </c>
      <c r="D28">
        <v>338</v>
      </c>
      <c r="E28" t="s">
        <v>19</v>
      </c>
      <c r="F28">
        <v>2349</v>
      </c>
      <c r="G28">
        <v>0.83606557377049096</v>
      </c>
      <c r="H28">
        <v>8200826</v>
      </c>
      <c r="I28" t="s">
        <v>20</v>
      </c>
      <c r="J28">
        <v>922514082</v>
      </c>
      <c r="K28" t="s">
        <v>21</v>
      </c>
      <c r="L28" t="s">
        <v>22</v>
      </c>
      <c r="M28" t="s">
        <v>20</v>
      </c>
      <c r="N28" t="s">
        <v>23</v>
      </c>
      <c r="O28" t="s">
        <v>24</v>
      </c>
      <c r="P28" t="s">
        <v>25</v>
      </c>
      <c r="Q28" t="s">
        <v>26</v>
      </c>
    </row>
    <row r="29" spans="1:17" x14ac:dyDescent="0.3">
      <c r="A29" t="s">
        <v>61</v>
      </c>
      <c r="B29" t="s">
        <v>18</v>
      </c>
      <c r="C29">
        <v>1.19760479041916E-2</v>
      </c>
      <c r="D29">
        <v>2</v>
      </c>
      <c r="E29" t="s">
        <v>19</v>
      </c>
      <c r="F29">
        <v>2</v>
      </c>
      <c r="G29">
        <v>0.26041666666666602</v>
      </c>
      <c r="H29">
        <v>44986521</v>
      </c>
      <c r="I29" t="s">
        <v>20</v>
      </c>
      <c r="J29">
        <v>0</v>
      </c>
      <c r="K29" t="s">
        <v>40</v>
      </c>
      <c r="L29" t="s">
        <v>22</v>
      </c>
      <c r="M29" t="s">
        <v>20</v>
      </c>
      <c r="N29" t="s">
        <v>23</v>
      </c>
      <c r="O29" t="s">
        <v>41</v>
      </c>
      <c r="P29" t="s">
        <v>25</v>
      </c>
      <c r="Q29" t="s">
        <v>62</v>
      </c>
    </row>
    <row r="30" spans="1:17" x14ac:dyDescent="0.3">
      <c r="A30" t="s">
        <v>63</v>
      </c>
      <c r="B30" t="s">
        <v>18</v>
      </c>
      <c r="C30">
        <v>1.19760479041916E-2</v>
      </c>
      <c r="D30">
        <v>2</v>
      </c>
      <c r="E30" t="s">
        <v>19</v>
      </c>
      <c r="F30">
        <v>2</v>
      </c>
      <c r="G30">
        <v>0.25906735751295301</v>
      </c>
      <c r="H30">
        <v>44986521</v>
      </c>
      <c r="I30" t="s">
        <v>20</v>
      </c>
      <c r="J30">
        <v>0</v>
      </c>
      <c r="K30" t="s">
        <v>40</v>
      </c>
      <c r="L30" t="s">
        <v>22</v>
      </c>
      <c r="M30" t="s">
        <v>20</v>
      </c>
      <c r="N30" t="s">
        <v>23</v>
      </c>
      <c r="O30" t="s">
        <v>41</v>
      </c>
      <c r="P30" t="s">
        <v>25</v>
      </c>
      <c r="Q30" t="s">
        <v>62</v>
      </c>
    </row>
    <row r="31" spans="1:17" x14ac:dyDescent="0.3">
      <c r="A31" t="s">
        <v>64</v>
      </c>
      <c r="B31" t="s">
        <v>18</v>
      </c>
      <c r="C31">
        <v>0</v>
      </c>
      <c r="D31">
        <v>0</v>
      </c>
      <c r="E31" t="s">
        <v>19</v>
      </c>
      <c r="F31">
        <v>17</v>
      </c>
      <c r="G31">
        <v>0.97156398104265396</v>
      </c>
      <c r="H31">
        <v>44464690</v>
      </c>
      <c r="I31" t="s">
        <v>20</v>
      </c>
      <c r="J31">
        <v>1332325685</v>
      </c>
      <c r="K31" t="s">
        <v>65</v>
      </c>
      <c r="L31" t="s">
        <v>22</v>
      </c>
      <c r="M31" t="s">
        <v>20</v>
      </c>
      <c r="N31" t="s">
        <v>23</v>
      </c>
      <c r="O31" t="s">
        <v>24</v>
      </c>
      <c r="P31" t="s">
        <v>25</v>
      </c>
      <c r="Q31" t="s">
        <v>66</v>
      </c>
    </row>
    <row r="32" spans="1:17" x14ac:dyDescent="0.3">
      <c r="A32" t="s">
        <v>67</v>
      </c>
      <c r="B32" t="s">
        <v>18</v>
      </c>
      <c r="C32">
        <v>0</v>
      </c>
      <c r="D32">
        <v>0</v>
      </c>
      <c r="E32" t="s">
        <v>19</v>
      </c>
      <c r="F32">
        <v>17</v>
      </c>
      <c r="G32">
        <v>0.96698113207547098</v>
      </c>
      <c r="H32">
        <v>44464690</v>
      </c>
      <c r="I32" t="s">
        <v>20</v>
      </c>
      <c r="J32">
        <v>1332325685</v>
      </c>
      <c r="K32" t="s">
        <v>65</v>
      </c>
      <c r="L32" t="s">
        <v>22</v>
      </c>
      <c r="M32" t="s">
        <v>20</v>
      </c>
      <c r="N32" t="s">
        <v>23</v>
      </c>
      <c r="O32" t="s">
        <v>24</v>
      </c>
      <c r="P32" t="s">
        <v>25</v>
      </c>
      <c r="Q32" t="s">
        <v>66</v>
      </c>
    </row>
    <row r="33" spans="1:17" x14ac:dyDescent="0.3">
      <c r="A33" t="s">
        <v>68</v>
      </c>
      <c r="B33" t="s">
        <v>18</v>
      </c>
      <c r="C33">
        <v>1.23456790123456E-2</v>
      </c>
      <c r="D33">
        <v>1</v>
      </c>
      <c r="E33" t="s">
        <v>19</v>
      </c>
      <c r="F33">
        <v>1</v>
      </c>
      <c r="G33">
        <v>0.108108108108108</v>
      </c>
      <c r="H33">
        <v>44986521</v>
      </c>
      <c r="I33" t="s">
        <v>20</v>
      </c>
      <c r="J33">
        <v>0</v>
      </c>
      <c r="K33" t="s">
        <v>40</v>
      </c>
      <c r="L33" t="s">
        <v>22</v>
      </c>
      <c r="M33" t="s">
        <v>20</v>
      </c>
      <c r="N33" t="s">
        <v>23</v>
      </c>
      <c r="O33" t="s">
        <v>41</v>
      </c>
      <c r="P33" t="s">
        <v>25</v>
      </c>
      <c r="Q33" t="s">
        <v>62</v>
      </c>
    </row>
    <row r="34" spans="1:17" x14ac:dyDescent="0.3">
      <c r="A34" t="s">
        <v>69</v>
      </c>
      <c r="B34" t="s">
        <v>18</v>
      </c>
      <c r="C34">
        <v>1.23456790123456E-2</v>
      </c>
      <c r="D34">
        <v>1</v>
      </c>
      <c r="E34" t="s">
        <v>19</v>
      </c>
      <c r="F34">
        <v>1</v>
      </c>
      <c r="G34">
        <v>0.107142857142857</v>
      </c>
      <c r="H34">
        <v>44986521</v>
      </c>
      <c r="I34" t="s">
        <v>20</v>
      </c>
      <c r="J34">
        <v>0</v>
      </c>
      <c r="K34" t="s">
        <v>40</v>
      </c>
      <c r="L34" t="s">
        <v>22</v>
      </c>
      <c r="M34" t="s">
        <v>20</v>
      </c>
      <c r="N34" t="s">
        <v>23</v>
      </c>
      <c r="O34" t="s">
        <v>41</v>
      </c>
      <c r="P34" t="s">
        <v>25</v>
      </c>
      <c r="Q34" t="s">
        <v>62</v>
      </c>
    </row>
    <row r="35" spans="1:17" x14ac:dyDescent="0.3">
      <c r="A35" t="s">
        <v>70</v>
      </c>
      <c r="B35" t="s">
        <v>18</v>
      </c>
      <c r="C35">
        <v>1.23456790123456E-2</v>
      </c>
      <c r="D35">
        <v>1</v>
      </c>
      <c r="E35" t="s">
        <v>19</v>
      </c>
      <c r="F35">
        <v>1</v>
      </c>
      <c r="G35">
        <v>0.106194690265486</v>
      </c>
      <c r="H35">
        <v>44986521</v>
      </c>
      <c r="I35" t="s">
        <v>20</v>
      </c>
      <c r="J35">
        <v>0</v>
      </c>
      <c r="K35" t="s">
        <v>40</v>
      </c>
      <c r="L35" t="s">
        <v>22</v>
      </c>
      <c r="M35" t="s">
        <v>20</v>
      </c>
      <c r="N35" t="s">
        <v>23</v>
      </c>
      <c r="O35" t="s">
        <v>41</v>
      </c>
      <c r="P35" t="s">
        <v>25</v>
      </c>
      <c r="Q35" t="s">
        <v>62</v>
      </c>
    </row>
    <row r="36" spans="1:17" x14ac:dyDescent="0.3">
      <c r="A36" t="s">
        <v>71</v>
      </c>
      <c r="B36" t="s">
        <v>18</v>
      </c>
      <c r="C36">
        <v>1.23456790123456E-2</v>
      </c>
      <c r="D36">
        <v>1</v>
      </c>
      <c r="E36" t="s">
        <v>19</v>
      </c>
      <c r="F36">
        <v>1</v>
      </c>
      <c r="G36">
        <v>0.105263157894736</v>
      </c>
      <c r="H36">
        <v>44986521</v>
      </c>
      <c r="I36" t="s">
        <v>20</v>
      </c>
      <c r="J36">
        <v>0</v>
      </c>
      <c r="K36" t="s">
        <v>40</v>
      </c>
      <c r="L36" t="s">
        <v>22</v>
      </c>
      <c r="M36" t="s">
        <v>20</v>
      </c>
      <c r="N36" t="s">
        <v>23</v>
      </c>
      <c r="O36" t="s">
        <v>41</v>
      </c>
      <c r="P36" t="s">
        <v>25</v>
      </c>
      <c r="Q36" t="s">
        <v>62</v>
      </c>
    </row>
    <row r="37" spans="1:17" x14ac:dyDescent="0.3">
      <c r="A37" t="s">
        <v>72</v>
      </c>
      <c r="B37" t="s">
        <v>18</v>
      </c>
      <c r="C37">
        <v>1.23456790123456E-2</v>
      </c>
      <c r="D37">
        <v>1</v>
      </c>
      <c r="E37" t="s">
        <v>19</v>
      </c>
      <c r="F37">
        <v>1</v>
      </c>
      <c r="G37">
        <v>0.104347826086956</v>
      </c>
      <c r="H37">
        <v>44986521</v>
      </c>
      <c r="I37" t="s">
        <v>20</v>
      </c>
      <c r="J37">
        <v>0</v>
      </c>
      <c r="K37" t="s">
        <v>40</v>
      </c>
      <c r="L37" t="s">
        <v>22</v>
      </c>
      <c r="M37" t="s">
        <v>20</v>
      </c>
      <c r="N37" t="s">
        <v>23</v>
      </c>
      <c r="O37" t="s">
        <v>41</v>
      </c>
      <c r="P37" t="s">
        <v>25</v>
      </c>
      <c r="Q37" t="s">
        <v>62</v>
      </c>
    </row>
    <row r="38" spans="1:17" x14ac:dyDescent="0.3">
      <c r="A38" t="s">
        <v>73</v>
      </c>
      <c r="B38" t="s">
        <v>18</v>
      </c>
      <c r="C38">
        <v>1.23456790123456E-2</v>
      </c>
      <c r="D38">
        <v>1</v>
      </c>
      <c r="E38" t="s">
        <v>19</v>
      </c>
      <c r="F38">
        <v>1</v>
      </c>
      <c r="G38">
        <v>0.10344827586206801</v>
      </c>
      <c r="H38">
        <v>44986521</v>
      </c>
      <c r="I38" t="s">
        <v>20</v>
      </c>
      <c r="J38">
        <v>0</v>
      </c>
      <c r="K38" t="s">
        <v>40</v>
      </c>
      <c r="L38" t="s">
        <v>22</v>
      </c>
      <c r="M38" t="s">
        <v>20</v>
      </c>
      <c r="N38" t="s">
        <v>23</v>
      </c>
      <c r="O38" t="s">
        <v>41</v>
      </c>
      <c r="P38" t="s">
        <v>25</v>
      </c>
      <c r="Q38" t="s">
        <v>62</v>
      </c>
    </row>
    <row r="39" spans="1:17" x14ac:dyDescent="0.3">
      <c r="A39" t="s">
        <v>74</v>
      </c>
      <c r="B39" t="s">
        <v>18</v>
      </c>
      <c r="C39">
        <v>1.23456790123456E-2</v>
      </c>
      <c r="D39">
        <v>1</v>
      </c>
      <c r="E39" t="s">
        <v>19</v>
      </c>
      <c r="F39">
        <v>1</v>
      </c>
      <c r="G39">
        <v>0.10256410256410201</v>
      </c>
      <c r="H39">
        <v>44986521</v>
      </c>
      <c r="I39" t="s">
        <v>20</v>
      </c>
      <c r="J39">
        <v>0</v>
      </c>
      <c r="K39" t="s">
        <v>40</v>
      </c>
      <c r="L39" t="s">
        <v>22</v>
      </c>
      <c r="M39" t="s">
        <v>20</v>
      </c>
      <c r="N39" t="s">
        <v>23</v>
      </c>
      <c r="O39" t="s">
        <v>41</v>
      </c>
      <c r="P39" t="s">
        <v>25</v>
      </c>
      <c r="Q39" t="s">
        <v>62</v>
      </c>
    </row>
    <row r="40" spans="1:17" x14ac:dyDescent="0.3">
      <c r="A40" t="s">
        <v>75</v>
      </c>
      <c r="B40" t="s">
        <v>18</v>
      </c>
      <c r="C40">
        <v>1.19760479041916E-2</v>
      </c>
      <c r="D40">
        <v>2</v>
      </c>
      <c r="E40" t="s">
        <v>19</v>
      </c>
      <c r="F40">
        <v>2</v>
      </c>
      <c r="G40">
        <v>0.27624309392265101</v>
      </c>
      <c r="H40">
        <v>44986521</v>
      </c>
      <c r="I40" t="s">
        <v>20</v>
      </c>
      <c r="J40">
        <v>0</v>
      </c>
      <c r="K40" t="s">
        <v>40</v>
      </c>
      <c r="L40" t="s">
        <v>22</v>
      </c>
      <c r="M40" t="s">
        <v>20</v>
      </c>
      <c r="N40" t="s">
        <v>23</v>
      </c>
      <c r="O40" t="s">
        <v>41</v>
      </c>
      <c r="P40" t="s">
        <v>25</v>
      </c>
      <c r="Q40" t="s">
        <v>62</v>
      </c>
    </row>
    <row r="41" spans="1:17" x14ac:dyDescent="0.3">
      <c r="A41" t="s">
        <v>76</v>
      </c>
      <c r="B41" t="s">
        <v>18</v>
      </c>
      <c r="C41">
        <v>1.19760479041916E-2</v>
      </c>
      <c r="D41">
        <v>2</v>
      </c>
      <c r="E41" t="s">
        <v>19</v>
      </c>
      <c r="F41">
        <v>2</v>
      </c>
      <c r="G41">
        <v>0.27472527472527403</v>
      </c>
      <c r="H41">
        <v>44986521</v>
      </c>
      <c r="I41" t="s">
        <v>20</v>
      </c>
      <c r="J41">
        <v>0</v>
      </c>
      <c r="K41" t="s">
        <v>40</v>
      </c>
      <c r="L41" t="s">
        <v>22</v>
      </c>
      <c r="M41" t="s">
        <v>20</v>
      </c>
      <c r="N41" t="s">
        <v>23</v>
      </c>
      <c r="O41" t="s">
        <v>41</v>
      </c>
      <c r="P41" t="s">
        <v>25</v>
      </c>
      <c r="Q41" t="s">
        <v>62</v>
      </c>
    </row>
    <row r="42" spans="1:17" x14ac:dyDescent="0.3">
      <c r="A42" t="s">
        <v>77</v>
      </c>
      <c r="B42" t="s">
        <v>18</v>
      </c>
      <c r="C42">
        <v>1.19760479041916E-2</v>
      </c>
      <c r="D42">
        <v>2</v>
      </c>
      <c r="E42" t="s">
        <v>19</v>
      </c>
      <c r="F42">
        <v>2</v>
      </c>
      <c r="G42">
        <v>0.27322404371584702</v>
      </c>
      <c r="H42">
        <v>44986521</v>
      </c>
      <c r="I42" t="s">
        <v>20</v>
      </c>
      <c r="J42">
        <v>0</v>
      </c>
      <c r="K42" t="s">
        <v>40</v>
      </c>
      <c r="L42" t="s">
        <v>22</v>
      </c>
      <c r="M42" t="s">
        <v>20</v>
      </c>
      <c r="N42" t="s">
        <v>23</v>
      </c>
      <c r="O42" t="s">
        <v>41</v>
      </c>
      <c r="P42" t="s">
        <v>25</v>
      </c>
      <c r="Q42" t="s">
        <v>62</v>
      </c>
    </row>
    <row r="43" spans="1:17" x14ac:dyDescent="0.3">
      <c r="A43" t="s">
        <v>78</v>
      </c>
      <c r="B43" t="s">
        <v>18</v>
      </c>
      <c r="C43">
        <v>1.19760479041916E-2</v>
      </c>
      <c r="D43">
        <v>2</v>
      </c>
      <c r="E43" t="s">
        <v>19</v>
      </c>
      <c r="F43">
        <v>2</v>
      </c>
      <c r="G43">
        <v>0.27173913043478198</v>
      </c>
      <c r="H43">
        <v>44986521</v>
      </c>
      <c r="I43" t="s">
        <v>20</v>
      </c>
      <c r="J43">
        <v>0</v>
      </c>
      <c r="K43" t="s">
        <v>40</v>
      </c>
      <c r="L43" t="s">
        <v>22</v>
      </c>
      <c r="M43" t="s">
        <v>20</v>
      </c>
      <c r="N43" t="s">
        <v>23</v>
      </c>
      <c r="O43" t="s">
        <v>41</v>
      </c>
      <c r="P43" t="s">
        <v>25</v>
      </c>
      <c r="Q43" t="s">
        <v>62</v>
      </c>
    </row>
    <row r="44" spans="1:17" x14ac:dyDescent="0.3">
      <c r="A44" t="s">
        <v>79</v>
      </c>
      <c r="B44" t="s">
        <v>18</v>
      </c>
      <c r="C44">
        <v>1.19760479041916E-2</v>
      </c>
      <c r="D44">
        <v>2</v>
      </c>
      <c r="E44" t="s">
        <v>19</v>
      </c>
      <c r="F44">
        <v>2</v>
      </c>
      <c r="G44">
        <v>0.27027027027027001</v>
      </c>
      <c r="H44">
        <v>44986521</v>
      </c>
      <c r="I44" t="s">
        <v>20</v>
      </c>
      <c r="J44">
        <v>0</v>
      </c>
      <c r="K44" t="s">
        <v>40</v>
      </c>
      <c r="L44" t="s">
        <v>22</v>
      </c>
      <c r="M44" t="s">
        <v>20</v>
      </c>
      <c r="N44" t="s">
        <v>23</v>
      </c>
      <c r="O44" t="s">
        <v>41</v>
      </c>
      <c r="P44" t="s">
        <v>25</v>
      </c>
      <c r="Q44" t="s">
        <v>62</v>
      </c>
    </row>
    <row r="45" spans="1:17" x14ac:dyDescent="0.3">
      <c r="A45" t="s">
        <v>80</v>
      </c>
      <c r="B45" t="s">
        <v>18</v>
      </c>
      <c r="C45">
        <v>1.19760479041916E-2</v>
      </c>
      <c r="D45">
        <v>2</v>
      </c>
      <c r="E45" t="s">
        <v>19</v>
      </c>
      <c r="F45">
        <v>2</v>
      </c>
      <c r="G45">
        <v>0.26881720430107497</v>
      </c>
      <c r="H45">
        <v>44986521</v>
      </c>
      <c r="I45" t="s">
        <v>20</v>
      </c>
      <c r="J45">
        <v>0</v>
      </c>
      <c r="K45" t="s">
        <v>40</v>
      </c>
      <c r="L45" t="s">
        <v>22</v>
      </c>
      <c r="M45" t="s">
        <v>20</v>
      </c>
      <c r="N45" t="s">
        <v>23</v>
      </c>
      <c r="O45" t="s">
        <v>41</v>
      </c>
      <c r="P45" t="s">
        <v>25</v>
      </c>
      <c r="Q45" t="s">
        <v>62</v>
      </c>
    </row>
    <row r="46" spans="1:17" x14ac:dyDescent="0.3">
      <c r="A46" t="s">
        <v>81</v>
      </c>
      <c r="B46" t="s">
        <v>18</v>
      </c>
      <c r="C46">
        <v>1.19760479041916E-2</v>
      </c>
      <c r="D46">
        <v>2</v>
      </c>
      <c r="E46" t="s">
        <v>19</v>
      </c>
      <c r="F46">
        <v>2</v>
      </c>
      <c r="G46">
        <v>0.26737967914438499</v>
      </c>
      <c r="H46">
        <v>44986521</v>
      </c>
      <c r="I46" t="s">
        <v>20</v>
      </c>
      <c r="J46">
        <v>0</v>
      </c>
      <c r="K46" t="s">
        <v>40</v>
      </c>
      <c r="L46" t="s">
        <v>22</v>
      </c>
      <c r="M46" t="s">
        <v>20</v>
      </c>
      <c r="N46" t="s">
        <v>23</v>
      </c>
      <c r="O46" t="s">
        <v>41</v>
      </c>
      <c r="P46" t="s">
        <v>25</v>
      </c>
      <c r="Q46" t="s">
        <v>62</v>
      </c>
    </row>
    <row r="47" spans="1:17" x14ac:dyDescent="0.3">
      <c r="A47" t="s">
        <v>82</v>
      </c>
      <c r="B47" t="s">
        <v>18</v>
      </c>
      <c r="C47">
        <v>1.23456790123456E-2</v>
      </c>
      <c r="D47">
        <v>1</v>
      </c>
      <c r="E47" t="s">
        <v>19</v>
      </c>
      <c r="F47">
        <v>1</v>
      </c>
      <c r="G47">
        <v>0.11764705882352899</v>
      </c>
      <c r="H47">
        <v>44986521</v>
      </c>
      <c r="I47" t="s">
        <v>20</v>
      </c>
      <c r="J47">
        <v>0</v>
      </c>
      <c r="K47" t="s">
        <v>40</v>
      </c>
      <c r="L47" t="s">
        <v>22</v>
      </c>
      <c r="M47" t="s">
        <v>20</v>
      </c>
      <c r="N47" t="s">
        <v>23</v>
      </c>
      <c r="O47" t="s">
        <v>41</v>
      </c>
      <c r="P47" t="s">
        <v>25</v>
      </c>
      <c r="Q47" t="s">
        <v>62</v>
      </c>
    </row>
    <row r="48" spans="1:17" x14ac:dyDescent="0.3">
      <c r="A48" t="s">
        <v>83</v>
      </c>
      <c r="B48" t="s">
        <v>18</v>
      </c>
      <c r="C48">
        <v>1.23456790123456E-2</v>
      </c>
      <c r="D48">
        <v>1</v>
      </c>
      <c r="E48" t="s">
        <v>19</v>
      </c>
      <c r="F48">
        <v>1</v>
      </c>
      <c r="G48">
        <v>0.116504854368932</v>
      </c>
      <c r="H48">
        <v>44986521</v>
      </c>
      <c r="I48" t="s">
        <v>20</v>
      </c>
      <c r="J48">
        <v>0</v>
      </c>
      <c r="K48" t="s">
        <v>40</v>
      </c>
      <c r="L48" t="s">
        <v>22</v>
      </c>
      <c r="M48" t="s">
        <v>20</v>
      </c>
      <c r="N48" t="s">
        <v>23</v>
      </c>
      <c r="O48" t="s">
        <v>41</v>
      </c>
      <c r="P48" t="s">
        <v>25</v>
      </c>
      <c r="Q48" t="s">
        <v>62</v>
      </c>
    </row>
    <row r="49" spans="1:17" x14ac:dyDescent="0.3">
      <c r="A49" t="s">
        <v>84</v>
      </c>
      <c r="B49" t="s">
        <v>18</v>
      </c>
      <c r="C49">
        <v>1.23456790123456E-2</v>
      </c>
      <c r="D49">
        <v>1</v>
      </c>
      <c r="E49" t="s">
        <v>19</v>
      </c>
      <c r="F49">
        <v>1</v>
      </c>
      <c r="G49">
        <v>0.115384615384615</v>
      </c>
      <c r="H49">
        <v>44986521</v>
      </c>
      <c r="I49" t="s">
        <v>20</v>
      </c>
      <c r="J49">
        <v>0</v>
      </c>
      <c r="K49" t="s">
        <v>40</v>
      </c>
      <c r="L49" t="s">
        <v>22</v>
      </c>
      <c r="M49" t="s">
        <v>20</v>
      </c>
      <c r="N49" t="s">
        <v>23</v>
      </c>
      <c r="O49" t="s">
        <v>41</v>
      </c>
      <c r="P49" t="s">
        <v>25</v>
      </c>
      <c r="Q49" t="s">
        <v>62</v>
      </c>
    </row>
    <row r="50" spans="1:17" x14ac:dyDescent="0.3">
      <c r="A50" t="s">
        <v>85</v>
      </c>
      <c r="B50" t="s">
        <v>18</v>
      </c>
      <c r="C50">
        <v>1.23456790123456E-2</v>
      </c>
      <c r="D50">
        <v>1</v>
      </c>
      <c r="E50" t="s">
        <v>19</v>
      </c>
      <c r="F50">
        <v>1</v>
      </c>
      <c r="G50">
        <v>0.114285714285714</v>
      </c>
      <c r="H50">
        <v>44986521</v>
      </c>
      <c r="I50" t="s">
        <v>20</v>
      </c>
      <c r="J50">
        <v>0</v>
      </c>
      <c r="K50" t="s">
        <v>40</v>
      </c>
      <c r="L50" t="s">
        <v>22</v>
      </c>
      <c r="M50" t="s">
        <v>20</v>
      </c>
      <c r="N50" t="s">
        <v>23</v>
      </c>
      <c r="O50" t="s">
        <v>41</v>
      </c>
      <c r="P50" t="s">
        <v>25</v>
      </c>
      <c r="Q50" t="s">
        <v>62</v>
      </c>
    </row>
    <row r="51" spans="1:17" x14ac:dyDescent="0.3">
      <c r="A51" t="s">
        <v>86</v>
      </c>
      <c r="B51" t="s">
        <v>18</v>
      </c>
      <c r="C51">
        <v>1.23456790123456E-2</v>
      </c>
      <c r="D51">
        <v>1</v>
      </c>
      <c r="E51" t="s">
        <v>19</v>
      </c>
      <c r="F51">
        <v>1</v>
      </c>
      <c r="G51">
        <v>0.113207547169811</v>
      </c>
      <c r="H51">
        <v>44986521</v>
      </c>
      <c r="I51" t="s">
        <v>20</v>
      </c>
      <c r="J51">
        <v>0</v>
      </c>
      <c r="K51" t="s">
        <v>40</v>
      </c>
      <c r="L51" t="s">
        <v>22</v>
      </c>
      <c r="M51" t="s">
        <v>20</v>
      </c>
      <c r="N51" t="s">
        <v>23</v>
      </c>
      <c r="O51" t="s">
        <v>41</v>
      </c>
      <c r="P51" t="s">
        <v>25</v>
      </c>
      <c r="Q51" t="s">
        <v>62</v>
      </c>
    </row>
    <row r="52" spans="1:17" x14ac:dyDescent="0.3">
      <c r="A52" t="s">
        <v>87</v>
      </c>
      <c r="B52" t="s">
        <v>18</v>
      </c>
      <c r="C52">
        <v>1.23456790123456E-2</v>
      </c>
      <c r="D52">
        <v>1</v>
      </c>
      <c r="E52" t="s">
        <v>19</v>
      </c>
      <c r="F52">
        <v>1</v>
      </c>
      <c r="G52">
        <v>0.11214953271028</v>
      </c>
      <c r="H52">
        <v>44986521</v>
      </c>
      <c r="I52" t="s">
        <v>20</v>
      </c>
      <c r="J52">
        <v>0</v>
      </c>
      <c r="K52" t="s">
        <v>40</v>
      </c>
      <c r="L52" t="s">
        <v>22</v>
      </c>
      <c r="M52" t="s">
        <v>20</v>
      </c>
      <c r="N52" t="s">
        <v>23</v>
      </c>
      <c r="O52" t="s">
        <v>41</v>
      </c>
      <c r="P52" t="s">
        <v>25</v>
      </c>
      <c r="Q52" t="s">
        <v>62</v>
      </c>
    </row>
    <row r="53" spans="1:17" x14ac:dyDescent="0.3">
      <c r="A53" t="s">
        <v>88</v>
      </c>
      <c r="B53" t="s">
        <v>18</v>
      </c>
      <c r="C53">
        <v>1.23456790123456E-2</v>
      </c>
      <c r="D53">
        <v>1</v>
      </c>
      <c r="E53" t="s">
        <v>19</v>
      </c>
      <c r="F53">
        <v>1</v>
      </c>
      <c r="G53">
        <v>0.11111111111111099</v>
      </c>
      <c r="H53">
        <v>44986521</v>
      </c>
      <c r="I53" t="s">
        <v>20</v>
      </c>
      <c r="J53">
        <v>0</v>
      </c>
      <c r="K53" t="s">
        <v>40</v>
      </c>
      <c r="L53" t="s">
        <v>22</v>
      </c>
      <c r="M53" t="s">
        <v>20</v>
      </c>
      <c r="N53" t="s">
        <v>23</v>
      </c>
      <c r="O53" t="s">
        <v>41</v>
      </c>
      <c r="P53" t="s">
        <v>25</v>
      </c>
      <c r="Q53" t="s">
        <v>62</v>
      </c>
    </row>
    <row r="54" spans="1:17" x14ac:dyDescent="0.3">
      <c r="A54" t="s">
        <v>89</v>
      </c>
      <c r="B54" t="s">
        <v>18</v>
      </c>
      <c r="C54">
        <v>1.23456790123456E-2</v>
      </c>
      <c r="D54">
        <v>1</v>
      </c>
      <c r="E54" t="s">
        <v>19</v>
      </c>
      <c r="F54">
        <v>1</v>
      </c>
      <c r="G54">
        <v>0.11009174311926601</v>
      </c>
      <c r="H54">
        <v>44986521</v>
      </c>
      <c r="I54" t="s">
        <v>20</v>
      </c>
      <c r="J54">
        <v>0</v>
      </c>
      <c r="K54" t="s">
        <v>40</v>
      </c>
      <c r="L54" t="s">
        <v>22</v>
      </c>
      <c r="M54" t="s">
        <v>20</v>
      </c>
      <c r="N54" t="s">
        <v>23</v>
      </c>
      <c r="O54" t="s">
        <v>41</v>
      </c>
      <c r="P54" t="s">
        <v>25</v>
      </c>
      <c r="Q54" t="s">
        <v>62</v>
      </c>
    </row>
    <row r="55" spans="1:17" x14ac:dyDescent="0.3">
      <c r="A55" t="s">
        <v>90</v>
      </c>
      <c r="B55" t="s">
        <v>18</v>
      </c>
      <c r="C55">
        <v>1.23456790123456E-2</v>
      </c>
      <c r="D55">
        <v>1</v>
      </c>
      <c r="E55" t="s">
        <v>19</v>
      </c>
      <c r="F55">
        <v>1</v>
      </c>
      <c r="G55">
        <v>0.109090909090909</v>
      </c>
      <c r="H55">
        <v>44986521</v>
      </c>
      <c r="I55" t="s">
        <v>20</v>
      </c>
      <c r="J55">
        <v>0</v>
      </c>
      <c r="K55" t="s">
        <v>40</v>
      </c>
      <c r="L55" t="s">
        <v>22</v>
      </c>
      <c r="M55" t="s">
        <v>20</v>
      </c>
      <c r="N55" t="s">
        <v>23</v>
      </c>
      <c r="O55" t="s">
        <v>41</v>
      </c>
      <c r="P55" t="s">
        <v>25</v>
      </c>
      <c r="Q55" t="s">
        <v>62</v>
      </c>
    </row>
    <row r="56" spans="1:17" x14ac:dyDescent="0.3">
      <c r="A56" t="s">
        <v>91</v>
      </c>
      <c r="B56" t="s">
        <v>18</v>
      </c>
      <c r="C56">
        <v>0.145770065075921</v>
      </c>
      <c r="D56">
        <v>336</v>
      </c>
      <c r="E56" t="s">
        <v>19</v>
      </c>
      <c r="F56">
        <v>2344</v>
      </c>
      <c r="G56">
        <v>1.13953488372093</v>
      </c>
      <c r="H56">
        <v>8200826</v>
      </c>
      <c r="I56" t="s">
        <v>20</v>
      </c>
      <c r="J56">
        <v>922514082</v>
      </c>
      <c r="K56" t="s">
        <v>21</v>
      </c>
      <c r="L56" t="s">
        <v>22</v>
      </c>
      <c r="M56" t="s">
        <v>20</v>
      </c>
      <c r="N56" t="s">
        <v>23</v>
      </c>
      <c r="O56" t="s">
        <v>24</v>
      </c>
      <c r="P56" t="s">
        <v>25</v>
      </c>
      <c r="Q56" t="s">
        <v>26</v>
      </c>
    </row>
    <row r="57" spans="1:17" x14ac:dyDescent="0.3">
      <c r="A57" t="s">
        <v>92</v>
      </c>
      <c r="B57" t="s">
        <v>18</v>
      </c>
      <c r="C57">
        <v>0</v>
      </c>
      <c r="D57">
        <v>0</v>
      </c>
      <c r="E57" t="s">
        <v>19</v>
      </c>
      <c r="F57">
        <v>5</v>
      </c>
      <c r="G57">
        <v>0.57142857142857095</v>
      </c>
      <c r="H57">
        <v>44795713</v>
      </c>
      <c r="I57" t="s">
        <v>20</v>
      </c>
      <c r="J57">
        <v>0</v>
      </c>
      <c r="K57" t="s">
        <v>93</v>
      </c>
      <c r="L57" t="s">
        <v>22</v>
      </c>
      <c r="M57" t="s">
        <v>20</v>
      </c>
      <c r="N57" t="s">
        <v>23</v>
      </c>
      <c r="O57" t="s">
        <v>24</v>
      </c>
      <c r="P57" t="s">
        <v>25</v>
      </c>
      <c r="Q57" t="s">
        <v>94</v>
      </c>
    </row>
    <row r="58" spans="1:17" x14ac:dyDescent="0.3">
      <c r="A58" t="s">
        <v>95</v>
      </c>
      <c r="B58" t="s">
        <v>18</v>
      </c>
      <c r="C58">
        <v>0.15812431842966099</v>
      </c>
      <c r="D58">
        <v>145</v>
      </c>
      <c r="E58" t="s">
        <v>19</v>
      </c>
      <c r="F58">
        <v>690</v>
      </c>
      <c r="G58">
        <v>0.837209302325581</v>
      </c>
      <c r="H58">
        <v>28625427</v>
      </c>
      <c r="I58" t="s">
        <v>20</v>
      </c>
      <c r="J58">
        <v>1192123022</v>
      </c>
      <c r="K58" t="s">
        <v>96</v>
      </c>
      <c r="L58" t="s">
        <v>96</v>
      </c>
      <c r="M58" t="s">
        <v>20</v>
      </c>
      <c r="N58" t="s">
        <v>23</v>
      </c>
      <c r="O58" t="s">
        <v>41</v>
      </c>
      <c r="P58" t="s">
        <v>25</v>
      </c>
      <c r="Q58" t="s">
        <v>97</v>
      </c>
    </row>
    <row r="59" spans="1:17" x14ac:dyDescent="0.3">
      <c r="A59" t="s">
        <v>98</v>
      </c>
      <c r="B59" t="s">
        <v>18</v>
      </c>
      <c r="C59">
        <v>1.23456790123456E-2</v>
      </c>
      <c r="D59">
        <v>1</v>
      </c>
      <c r="E59" t="s">
        <v>19</v>
      </c>
      <c r="F59">
        <v>1</v>
      </c>
      <c r="G59">
        <v>0.13953488372093001</v>
      </c>
      <c r="H59">
        <v>44986521</v>
      </c>
      <c r="I59" t="s">
        <v>20</v>
      </c>
      <c r="J59">
        <v>0</v>
      </c>
      <c r="K59" t="s">
        <v>40</v>
      </c>
      <c r="L59" t="s">
        <v>22</v>
      </c>
      <c r="M59" t="s">
        <v>20</v>
      </c>
      <c r="N59" t="s">
        <v>23</v>
      </c>
      <c r="O59" t="s">
        <v>41</v>
      </c>
      <c r="P59" t="s">
        <v>25</v>
      </c>
      <c r="Q59" t="s">
        <v>62</v>
      </c>
    </row>
    <row r="60" spans="1:17" x14ac:dyDescent="0.3">
      <c r="A60" t="s">
        <v>99</v>
      </c>
      <c r="B60" t="s">
        <v>18</v>
      </c>
      <c r="C60">
        <v>1.23456790123456E-2</v>
      </c>
      <c r="D60">
        <v>1</v>
      </c>
      <c r="E60" t="s">
        <v>19</v>
      </c>
      <c r="F60">
        <v>1</v>
      </c>
      <c r="G60">
        <v>0.13793103448275801</v>
      </c>
      <c r="H60">
        <v>44986521</v>
      </c>
      <c r="I60" t="s">
        <v>20</v>
      </c>
      <c r="J60">
        <v>0</v>
      </c>
      <c r="K60" t="s">
        <v>40</v>
      </c>
      <c r="L60" t="s">
        <v>22</v>
      </c>
      <c r="M60" t="s">
        <v>20</v>
      </c>
      <c r="N60" t="s">
        <v>23</v>
      </c>
      <c r="O60" t="s">
        <v>41</v>
      </c>
      <c r="P60" t="s">
        <v>25</v>
      </c>
      <c r="Q60" t="s">
        <v>62</v>
      </c>
    </row>
    <row r="61" spans="1:17" x14ac:dyDescent="0.3">
      <c r="A61" t="s">
        <v>100</v>
      </c>
      <c r="B61" t="s">
        <v>18</v>
      </c>
      <c r="C61">
        <v>1.23456790123456E-2</v>
      </c>
      <c r="D61">
        <v>1</v>
      </c>
      <c r="E61" t="s">
        <v>19</v>
      </c>
      <c r="F61">
        <v>1</v>
      </c>
      <c r="G61">
        <v>0.13636363636363599</v>
      </c>
      <c r="H61">
        <v>44986521</v>
      </c>
      <c r="I61" t="s">
        <v>20</v>
      </c>
      <c r="J61">
        <v>0</v>
      </c>
      <c r="K61" t="s">
        <v>40</v>
      </c>
      <c r="L61" t="s">
        <v>22</v>
      </c>
      <c r="M61" t="s">
        <v>20</v>
      </c>
      <c r="N61" t="s">
        <v>23</v>
      </c>
      <c r="O61" t="s">
        <v>41</v>
      </c>
      <c r="P61" t="s">
        <v>25</v>
      </c>
      <c r="Q61" t="s">
        <v>62</v>
      </c>
    </row>
    <row r="62" spans="1:17" x14ac:dyDescent="0.3">
      <c r="A62" t="s">
        <v>101</v>
      </c>
      <c r="B62" t="s">
        <v>18</v>
      </c>
      <c r="C62">
        <v>0.14513350559862101</v>
      </c>
      <c r="D62">
        <v>337</v>
      </c>
      <c r="E62" t="s">
        <v>19</v>
      </c>
      <c r="F62">
        <v>2347</v>
      </c>
      <c r="G62">
        <v>0.65116279069767402</v>
      </c>
      <c r="H62">
        <v>8200826</v>
      </c>
      <c r="I62" t="s">
        <v>20</v>
      </c>
      <c r="J62">
        <v>922514082</v>
      </c>
      <c r="K62" t="s">
        <v>21</v>
      </c>
      <c r="L62" t="s">
        <v>22</v>
      </c>
      <c r="M62" t="s">
        <v>20</v>
      </c>
      <c r="N62" t="s">
        <v>23</v>
      </c>
      <c r="O62" t="s">
        <v>24</v>
      </c>
      <c r="P62" t="s">
        <v>25</v>
      </c>
      <c r="Q62" t="s">
        <v>26</v>
      </c>
    </row>
    <row r="63" spans="1:17" x14ac:dyDescent="0.3">
      <c r="A63" t="s">
        <v>102</v>
      </c>
      <c r="B63" t="s">
        <v>18</v>
      </c>
      <c r="C63">
        <v>1.19760479041916E-2</v>
      </c>
      <c r="D63">
        <v>2</v>
      </c>
      <c r="E63" t="s">
        <v>19</v>
      </c>
      <c r="F63">
        <v>2</v>
      </c>
      <c r="G63">
        <v>0.290697674418604</v>
      </c>
      <c r="H63">
        <v>44986521</v>
      </c>
      <c r="I63" t="s">
        <v>20</v>
      </c>
      <c r="J63">
        <v>0</v>
      </c>
      <c r="K63" t="s">
        <v>40</v>
      </c>
      <c r="L63" t="s">
        <v>22</v>
      </c>
      <c r="M63" t="s">
        <v>20</v>
      </c>
      <c r="N63" t="s">
        <v>23</v>
      </c>
      <c r="O63" t="s">
        <v>41</v>
      </c>
      <c r="P63" t="s">
        <v>25</v>
      </c>
      <c r="Q63" t="s">
        <v>62</v>
      </c>
    </row>
    <row r="64" spans="1:17" x14ac:dyDescent="0.3">
      <c r="A64" t="s">
        <v>103</v>
      </c>
      <c r="B64" t="s">
        <v>18</v>
      </c>
      <c r="C64">
        <v>1.19760479041916E-2</v>
      </c>
      <c r="D64">
        <v>2</v>
      </c>
      <c r="E64" t="s">
        <v>19</v>
      </c>
      <c r="F64">
        <v>2</v>
      </c>
      <c r="G64">
        <v>0.28901734104046201</v>
      </c>
      <c r="H64">
        <v>44986521</v>
      </c>
      <c r="I64" t="s">
        <v>20</v>
      </c>
      <c r="J64">
        <v>0</v>
      </c>
      <c r="K64" t="s">
        <v>40</v>
      </c>
      <c r="L64" t="s">
        <v>22</v>
      </c>
      <c r="M64" t="s">
        <v>20</v>
      </c>
      <c r="N64" t="s">
        <v>23</v>
      </c>
      <c r="O64" t="s">
        <v>41</v>
      </c>
      <c r="P64" t="s">
        <v>25</v>
      </c>
      <c r="Q64" t="s">
        <v>62</v>
      </c>
    </row>
    <row r="65" spans="1:17" x14ac:dyDescent="0.3">
      <c r="A65" t="s">
        <v>104</v>
      </c>
      <c r="B65" t="s">
        <v>18</v>
      </c>
      <c r="C65">
        <v>1.19760479041916E-2</v>
      </c>
      <c r="D65">
        <v>2</v>
      </c>
      <c r="E65" t="s">
        <v>19</v>
      </c>
      <c r="F65">
        <v>2</v>
      </c>
      <c r="G65">
        <v>0.28735632183908</v>
      </c>
      <c r="H65">
        <v>44986521</v>
      </c>
      <c r="I65" t="s">
        <v>20</v>
      </c>
      <c r="J65">
        <v>0</v>
      </c>
      <c r="K65" t="s">
        <v>40</v>
      </c>
      <c r="L65" t="s">
        <v>22</v>
      </c>
      <c r="M65" t="s">
        <v>20</v>
      </c>
      <c r="N65" t="s">
        <v>23</v>
      </c>
      <c r="O65" t="s">
        <v>41</v>
      </c>
      <c r="P65" t="s">
        <v>25</v>
      </c>
      <c r="Q65" t="s">
        <v>62</v>
      </c>
    </row>
    <row r="66" spans="1:17" x14ac:dyDescent="0.3">
      <c r="A66" t="s">
        <v>105</v>
      </c>
      <c r="B66" t="s">
        <v>18</v>
      </c>
      <c r="C66">
        <v>1.19760479041916E-2</v>
      </c>
      <c r="D66">
        <v>2</v>
      </c>
      <c r="E66" t="s">
        <v>19</v>
      </c>
      <c r="F66">
        <v>2</v>
      </c>
      <c r="G66">
        <v>0.28571428571428498</v>
      </c>
      <c r="H66">
        <v>44986521</v>
      </c>
      <c r="I66" t="s">
        <v>20</v>
      </c>
      <c r="J66">
        <v>0</v>
      </c>
      <c r="K66" t="s">
        <v>40</v>
      </c>
      <c r="L66" t="s">
        <v>22</v>
      </c>
      <c r="M66" t="s">
        <v>20</v>
      </c>
      <c r="N66" t="s">
        <v>23</v>
      </c>
      <c r="O66" t="s">
        <v>41</v>
      </c>
      <c r="P66" t="s">
        <v>25</v>
      </c>
      <c r="Q66" t="s">
        <v>62</v>
      </c>
    </row>
    <row r="67" spans="1:17" x14ac:dyDescent="0.3">
      <c r="A67" t="s">
        <v>106</v>
      </c>
      <c r="B67" t="s">
        <v>18</v>
      </c>
      <c r="C67">
        <v>1.19760479041916E-2</v>
      </c>
      <c r="D67">
        <v>2</v>
      </c>
      <c r="E67" t="s">
        <v>19</v>
      </c>
      <c r="F67">
        <v>2</v>
      </c>
      <c r="G67">
        <v>0.28409090909090901</v>
      </c>
      <c r="H67">
        <v>44986521</v>
      </c>
      <c r="I67" t="s">
        <v>20</v>
      </c>
      <c r="J67">
        <v>0</v>
      </c>
      <c r="K67" t="s">
        <v>40</v>
      </c>
      <c r="L67" t="s">
        <v>22</v>
      </c>
      <c r="M67" t="s">
        <v>20</v>
      </c>
      <c r="N67" t="s">
        <v>23</v>
      </c>
      <c r="O67" t="s">
        <v>41</v>
      </c>
      <c r="P67" t="s">
        <v>25</v>
      </c>
      <c r="Q67" t="s">
        <v>62</v>
      </c>
    </row>
    <row r="68" spans="1:17" x14ac:dyDescent="0.3">
      <c r="A68" t="s">
        <v>107</v>
      </c>
      <c r="B68" t="s">
        <v>18</v>
      </c>
      <c r="C68">
        <v>1.23456790123456E-2</v>
      </c>
      <c r="D68">
        <v>1</v>
      </c>
      <c r="E68" t="s">
        <v>19</v>
      </c>
      <c r="F68">
        <v>1</v>
      </c>
      <c r="G68">
        <v>8.4507042253521097E-2</v>
      </c>
      <c r="H68">
        <v>44986521</v>
      </c>
      <c r="I68" t="s">
        <v>20</v>
      </c>
      <c r="J68">
        <v>0</v>
      </c>
      <c r="K68" t="s">
        <v>40</v>
      </c>
      <c r="L68" t="s">
        <v>22</v>
      </c>
      <c r="M68" t="s">
        <v>20</v>
      </c>
      <c r="N68" t="s">
        <v>23</v>
      </c>
      <c r="O68" t="s">
        <v>41</v>
      </c>
      <c r="P68" t="s">
        <v>25</v>
      </c>
      <c r="Q68" t="s">
        <v>62</v>
      </c>
    </row>
    <row r="69" spans="1:17" x14ac:dyDescent="0.3">
      <c r="A69" t="s">
        <v>108</v>
      </c>
      <c r="B69" t="s">
        <v>18</v>
      </c>
      <c r="C69">
        <v>1.23456790123456E-2</v>
      </c>
      <c r="D69">
        <v>1</v>
      </c>
      <c r="E69" t="s">
        <v>19</v>
      </c>
      <c r="F69">
        <v>1</v>
      </c>
      <c r="G69">
        <v>8.3916083916083906E-2</v>
      </c>
      <c r="H69">
        <v>44986521</v>
      </c>
      <c r="I69" t="s">
        <v>20</v>
      </c>
      <c r="J69">
        <v>0</v>
      </c>
      <c r="K69" t="s">
        <v>40</v>
      </c>
      <c r="L69" t="s">
        <v>22</v>
      </c>
      <c r="M69" t="s">
        <v>20</v>
      </c>
      <c r="N69" t="s">
        <v>23</v>
      </c>
      <c r="O69" t="s">
        <v>41</v>
      </c>
      <c r="P69" t="s">
        <v>25</v>
      </c>
      <c r="Q69" t="s">
        <v>62</v>
      </c>
    </row>
    <row r="70" spans="1:17" x14ac:dyDescent="0.3">
      <c r="A70" t="s">
        <v>109</v>
      </c>
      <c r="B70" t="s">
        <v>18</v>
      </c>
      <c r="C70">
        <v>1.23456790123456E-2</v>
      </c>
      <c r="D70">
        <v>1</v>
      </c>
      <c r="E70" t="s">
        <v>19</v>
      </c>
      <c r="F70">
        <v>1</v>
      </c>
      <c r="G70">
        <v>8.3333333333333301E-2</v>
      </c>
      <c r="H70">
        <v>44986521</v>
      </c>
      <c r="I70" t="s">
        <v>20</v>
      </c>
      <c r="J70">
        <v>0</v>
      </c>
      <c r="K70" t="s">
        <v>40</v>
      </c>
      <c r="L70" t="s">
        <v>22</v>
      </c>
      <c r="M70" t="s">
        <v>20</v>
      </c>
      <c r="N70" t="s">
        <v>23</v>
      </c>
      <c r="O70" t="s">
        <v>41</v>
      </c>
      <c r="P70" t="s">
        <v>25</v>
      </c>
      <c r="Q70" t="s">
        <v>62</v>
      </c>
    </row>
    <row r="71" spans="1:17" x14ac:dyDescent="0.3">
      <c r="A71" t="s">
        <v>110</v>
      </c>
      <c r="B71" t="s">
        <v>18</v>
      </c>
      <c r="C71">
        <v>1.23456790123456E-2</v>
      </c>
      <c r="D71">
        <v>1</v>
      </c>
      <c r="E71" t="s">
        <v>19</v>
      </c>
      <c r="F71">
        <v>1</v>
      </c>
      <c r="G71">
        <v>8.2758620689655102E-2</v>
      </c>
      <c r="H71">
        <v>44986521</v>
      </c>
      <c r="I71" t="s">
        <v>20</v>
      </c>
      <c r="J71">
        <v>0</v>
      </c>
      <c r="K71" t="s">
        <v>40</v>
      </c>
      <c r="L71" t="s">
        <v>22</v>
      </c>
      <c r="M71" t="s">
        <v>20</v>
      </c>
      <c r="N71" t="s">
        <v>23</v>
      </c>
      <c r="O71" t="s">
        <v>41</v>
      </c>
      <c r="P71" t="s">
        <v>25</v>
      </c>
      <c r="Q71" t="s">
        <v>62</v>
      </c>
    </row>
    <row r="72" spans="1:17" x14ac:dyDescent="0.3">
      <c r="A72" t="s">
        <v>111</v>
      </c>
      <c r="B72" t="s">
        <v>18</v>
      </c>
      <c r="C72">
        <v>1.23456790123456E-2</v>
      </c>
      <c r="D72">
        <v>1</v>
      </c>
      <c r="E72" t="s">
        <v>19</v>
      </c>
      <c r="F72">
        <v>1</v>
      </c>
      <c r="G72">
        <v>8.2191780821917804E-2</v>
      </c>
      <c r="H72">
        <v>44986521</v>
      </c>
      <c r="I72" t="s">
        <v>20</v>
      </c>
      <c r="J72">
        <v>0</v>
      </c>
      <c r="K72" t="s">
        <v>40</v>
      </c>
      <c r="L72" t="s">
        <v>22</v>
      </c>
      <c r="M72" t="s">
        <v>20</v>
      </c>
      <c r="N72" t="s">
        <v>23</v>
      </c>
      <c r="O72" t="s">
        <v>41</v>
      </c>
      <c r="P72" t="s">
        <v>25</v>
      </c>
      <c r="Q72" t="s">
        <v>62</v>
      </c>
    </row>
    <row r="73" spans="1:17" x14ac:dyDescent="0.3">
      <c r="A73" t="s">
        <v>112</v>
      </c>
      <c r="B73" t="s">
        <v>18</v>
      </c>
      <c r="C73">
        <v>1.23456790123456E-2</v>
      </c>
      <c r="D73">
        <v>1</v>
      </c>
      <c r="E73" t="s">
        <v>19</v>
      </c>
      <c r="F73">
        <v>1</v>
      </c>
      <c r="G73">
        <v>8.16326530612244E-2</v>
      </c>
      <c r="H73">
        <v>44986521</v>
      </c>
      <c r="I73" t="s">
        <v>20</v>
      </c>
      <c r="J73">
        <v>0</v>
      </c>
      <c r="K73" t="s">
        <v>40</v>
      </c>
      <c r="L73" t="s">
        <v>22</v>
      </c>
      <c r="M73" t="s">
        <v>20</v>
      </c>
      <c r="N73" t="s">
        <v>23</v>
      </c>
      <c r="O73" t="s">
        <v>41</v>
      </c>
      <c r="P73" t="s">
        <v>25</v>
      </c>
      <c r="Q73" t="s">
        <v>62</v>
      </c>
    </row>
    <row r="74" spans="1:17" x14ac:dyDescent="0.3">
      <c r="A74" t="s">
        <v>113</v>
      </c>
      <c r="B74" t="s">
        <v>18</v>
      </c>
      <c r="C74">
        <v>1.23456790123456E-2</v>
      </c>
      <c r="D74">
        <v>1</v>
      </c>
      <c r="E74" t="s">
        <v>19</v>
      </c>
      <c r="F74">
        <v>1</v>
      </c>
      <c r="G74">
        <v>8.1081081081081002E-2</v>
      </c>
      <c r="H74">
        <v>44986521</v>
      </c>
      <c r="I74" t="s">
        <v>20</v>
      </c>
      <c r="J74">
        <v>0</v>
      </c>
      <c r="K74" t="s">
        <v>40</v>
      </c>
      <c r="L74" t="s">
        <v>22</v>
      </c>
      <c r="M74" t="s">
        <v>20</v>
      </c>
      <c r="N74" t="s">
        <v>23</v>
      </c>
      <c r="O74" t="s">
        <v>41</v>
      </c>
      <c r="P74" t="s">
        <v>25</v>
      </c>
      <c r="Q74" t="s">
        <v>62</v>
      </c>
    </row>
    <row r="75" spans="1:17" x14ac:dyDescent="0.3">
      <c r="A75" t="s">
        <v>114</v>
      </c>
      <c r="B75" t="s">
        <v>18</v>
      </c>
      <c r="C75">
        <v>1.23456790123456E-2</v>
      </c>
      <c r="D75">
        <v>1</v>
      </c>
      <c r="E75" t="s">
        <v>19</v>
      </c>
      <c r="F75">
        <v>1</v>
      </c>
      <c r="G75">
        <v>8.0536912751677805E-2</v>
      </c>
      <c r="H75">
        <v>44986521</v>
      </c>
      <c r="I75" t="s">
        <v>20</v>
      </c>
      <c r="J75">
        <v>0</v>
      </c>
      <c r="K75" t="s">
        <v>40</v>
      </c>
      <c r="L75" t="s">
        <v>22</v>
      </c>
      <c r="M75" t="s">
        <v>20</v>
      </c>
      <c r="N75" t="s">
        <v>23</v>
      </c>
      <c r="O75" t="s">
        <v>41</v>
      </c>
      <c r="P75" t="s">
        <v>25</v>
      </c>
      <c r="Q75" t="s">
        <v>62</v>
      </c>
    </row>
    <row r="76" spans="1:17" x14ac:dyDescent="0.3">
      <c r="A76" t="s">
        <v>115</v>
      </c>
      <c r="B76" t="s">
        <v>18</v>
      </c>
      <c r="C76">
        <v>0</v>
      </c>
      <c r="D76">
        <v>0</v>
      </c>
      <c r="E76" t="s">
        <v>19</v>
      </c>
      <c r="F76">
        <v>16</v>
      </c>
      <c r="G76">
        <v>0.93627450980392102</v>
      </c>
      <c r="H76">
        <v>44464690</v>
      </c>
      <c r="I76" t="s">
        <v>20</v>
      </c>
      <c r="J76">
        <v>1332325685</v>
      </c>
      <c r="K76" t="s">
        <v>65</v>
      </c>
      <c r="L76" t="s">
        <v>22</v>
      </c>
      <c r="M76" t="s">
        <v>20</v>
      </c>
      <c r="N76" t="s">
        <v>23</v>
      </c>
      <c r="O76" t="s">
        <v>24</v>
      </c>
      <c r="P76" t="s">
        <v>25</v>
      </c>
      <c r="Q76" t="s">
        <v>66</v>
      </c>
    </row>
    <row r="77" spans="1:17" x14ac:dyDescent="0.3">
      <c r="A77" t="s">
        <v>116</v>
      </c>
      <c r="B77" t="s">
        <v>18</v>
      </c>
      <c r="C77">
        <v>0.10256410256410201</v>
      </c>
      <c r="D77">
        <v>4</v>
      </c>
      <c r="E77" t="s">
        <v>19</v>
      </c>
      <c r="F77">
        <v>12</v>
      </c>
      <c r="G77">
        <v>0.57499999999999996</v>
      </c>
      <c r="H77">
        <v>44643928</v>
      </c>
      <c r="I77" t="s">
        <v>20</v>
      </c>
      <c r="J77">
        <v>0</v>
      </c>
      <c r="K77" t="s">
        <v>40</v>
      </c>
      <c r="L77" t="s">
        <v>22</v>
      </c>
      <c r="M77" t="s">
        <v>20</v>
      </c>
      <c r="N77" t="s">
        <v>23</v>
      </c>
      <c r="O77" t="s">
        <v>41</v>
      </c>
      <c r="P77" t="s">
        <v>25</v>
      </c>
      <c r="Q77" t="s">
        <v>117</v>
      </c>
    </row>
    <row r="78" spans="1:17" x14ac:dyDescent="0.3">
      <c r="A78" t="s">
        <v>118</v>
      </c>
      <c r="B78" t="s">
        <v>18</v>
      </c>
      <c r="C78">
        <v>0.10256410256410201</v>
      </c>
      <c r="D78">
        <v>4</v>
      </c>
      <c r="E78" t="s">
        <v>19</v>
      </c>
      <c r="F78">
        <v>12</v>
      </c>
      <c r="G78">
        <v>0.56097560975609695</v>
      </c>
      <c r="H78">
        <v>44643928</v>
      </c>
      <c r="I78" t="s">
        <v>20</v>
      </c>
      <c r="J78">
        <v>0</v>
      </c>
      <c r="K78" t="s">
        <v>40</v>
      </c>
      <c r="L78" t="s">
        <v>22</v>
      </c>
      <c r="M78" t="s">
        <v>20</v>
      </c>
      <c r="N78" t="s">
        <v>23</v>
      </c>
      <c r="O78" t="s">
        <v>41</v>
      </c>
      <c r="P78" t="s">
        <v>25</v>
      </c>
      <c r="Q78" t="s">
        <v>117</v>
      </c>
    </row>
    <row r="79" spans="1:17" x14ac:dyDescent="0.3">
      <c r="A79" t="s">
        <v>119</v>
      </c>
      <c r="B79" t="s">
        <v>18</v>
      </c>
      <c r="C79">
        <v>0.16666666666666599</v>
      </c>
      <c r="D79">
        <v>3</v>
      </c>
      <c r="E79" t="s">
        <v>19</v>
      </c>
      <c r="F79">
        <v>35</v>
      </c>
      <c r="G79">
        <v>0.625</v>
      </c>
      <c r="H79">
        <v>44003760</v>
      </c>
      <c r="I79" t="s">
        <v>20</v>
      </c>
      <c r="J79">
        <v>0</v>
      </c>
      <c r="K79" t="s">
        <v>120</v>
      </c>
      <c r="L79" t="s">
        <v>22</v>
      </c>
      <c r="M79" t="s">
        <v>20</v>
      </c>
      <c r="N79" t="s">
        <v>23</v>
      </c>
      <c r="O79" t="s">
        <v>24</v>
      </c>
      <c r="P79" t="s">
        <v>25</v>
      </c>
      <c r="Q79" t="s">
        <v>121</v>
      </c>
    </row>
    <row r="80" spans="1:17" x14ac:dyDescent="0.3">
      <c r="A80" t="s">
        <v>122</v>
      </c>
      <c r="B80" t="s">
        <v>18</v>
      </c>
      <c r="C80">
        <v>1.23456790123456E-2</v>
      </c>
      <c r="D80">
        <v>1</v>
      </c>
      <c r="E80" t="s">
        <v>19</v>
      </c>
      <c r="F80">
        <v>1</v>
      </c>
      <c r="G80">
        <v>0.13483146067415699</v>
      </c>
      <c r="H80">
        <v>44986521</v>
      </c>
      <c r="I80" t="s">
        <v>20</v>
      </c>
      <c r="J80">
        <v>0</v>
      </c>
      <c r="K80" t="s">
        <v>40</v>
      </c>
      <c r="L80" t="s">
        <v>22</v>
      </c>
      <c r="M80" t="s">
        <v>20</v>
      </c>
      <c r="N80" t="s">
        <v>23</v>
      </c>
      <c r="O80" t="s">
        <v>41</v>
      </c>
      <c r="P80" t="s">
        <v>25</v>
      </c>
      <c r="Q80" t="s">
        <v>62</v>
      </c>
    </row>
    <row r="81" spans="1:17" x14ac:dyDescent="0.3">
      <c r="A81" t="s">
        <v>123</v>
      </c>
      <c r="B81" t="s">
        <v>18</v>
      </c>
      <c r="C81">
        <v>1.23456790123456E-2</v>
      </c>
      <c r="D81">
        <v>1</v>
      </c>
      <c r="E81" t="s">
        <v>19</v>
      </c>
      <c r="F81">
        <v>1</v>
      </c>
      <c r="G81">
        <v>0.133333333333333</v>
      </c>
      <c r="H81">
        <v>44986521</v>
      </c>
      <c r="I81" t="s">
        <v>20</v>
      </c>
      <c r="J81">
        <v>0</v>
      </c>
      <c r="K81" t="s">
        <v>40</v>
      </c>
      <c r="L81" t="s">
        <v>22</v>
      </c>
      <c r="M81" t="s">
        <v>20</v>
      </c>
      <c r="N81" t="s">
        <v>23</v>
      </c>
      <c r="O81" t="s">
        <v>41</v>
      </c>
      <c r="P81" t="s">
        <v>25</v>
      </c>
      <c r="Q81" t="s">
        <v>62</v>
      </c>
    </row>
    <row r="82" spans="1:17" x14ac:dyDescent="0.3">
      <c r="A82" t="s">
        <v>124</v>
      </c>
      <c r="B82" t="s">
        <v>18</v>
      </c>
      <c r="C82">
        <v>1.23456790123456E-2</v>
      </c>
      <c r="D82">
        <v>1</v>
      </c>
      <c r="E82" t="s">
        <v>19</v>
      </c>
      <c r="F82">
        <v>1</v>
      </c>
      <c r="G82">
        <v>0.13186813186813101</v>
      </c>
      <c r="H82">
        <v>44986521</v>
      </c>
      <c r="I82" t="s">
        <v>20</v>
      </c>
      <c r="J82">
        <v>0</v>
      </c>
      <c r="K82" t="s">
        <v>40</v>
      </c>
      <c r="L82" t="s">
        <v>22</v>
      </c>
      <c r="M82" t="s">
        <v>20</v>
      </c>
      <c r="N82" t="s">
        <v>23</v>
      </c>
      <c r="O82" t="s">
        <v>41</v>
      </c>
      <c r="P82" t="s">
        <v>25</v>
      </c>
      <c r="Q82" t="s">
        <v>62</v>
      </c>
    </row>
    <row r="83" spans="1:17" x14ac:dyDescent="0.3">
      <c r="A83" t="s">
        <v>125</v>
      </c>
      <c r="B83" t="s">
        <v>18</v>
      </c>
      <c r="C83">
        <v>1.23456790123456E-2</v>
      </c>
      <c r="D83">
        <v>1</v>
      </c>
      <c r="E83" t="s">
        <v>19</v>
      </c>
      <c r="F83">
        <v>1</v>
      </c>
      <c r="G83">
        <v>0.13043478260869501</v>
      </c>
      <c r="H83">
        <v>44986521</v>
      </c>
      <c r="I83" t="s">
        <v>20</v>
      </c>
      <c r="J83">
        <v>0</v>
      </c>
      <c r="K83" t="s">
        <v>40</v>
      </c>
      <c r="L83" t="s">
        <v>22</v>
      </c>
      <c r="M83" t="s">
        <v>20</v>
      </c>
      <c r="N83" t="s">
        <v>23</v>
      </c>
      <c r="O83" t="s">
        <v>41</v>
      </c>
      <c r="P83" t="s">
        <v>25</v>
      </c>
      <c r="Q83" t="s">
        <v>62</v>
      </c>
    </row>
    <row r="84" spans="1:17" x14ac:dyDescent="0.3">
      <c r="A84" t="s">
        <v>126</v>
      </c>
      <c r="B84" t="s">
        <v>18</v>
      </c>
      <c r="C84">
        <v>1.23456790123456E-2</v>
      </c>
      <c r="D84">
        <v>1</v>
      </c>
      <c r="E84" t="s">
        <v>19</v>
      </c>
      <c r="F84">
        <v>1</v>
      </c>
      <c r="G84">
        <v>0.12903225806451599</v>
      </c>
      <c r="H84">
        <v>44986521</v>
      </c>
      <c r="I84" t="s">
        <v>20</v>
      </c>
      <c r="J84">
        <v>0</v>
      </c>
      <c r="K84" t="s">
        <v>40</v>
      </c>
      <c r="L84" t="s">
        <v>22</v>
      </c>
      <c r="M84" t="s">
        <v>20</v>
      </c>
      <c r="N84" t="s">
        <v>23</v>
      </c>
      <c r="O84" t="s">
        <v>41</v>
      </c>
      <c r="P84" t="s">
        <v>25</v>
      </c>
      <c r="Q84" t="s">
        <v>62</v>
      </c>
    </row>
    <row r="85" spans="1:17" x14ac:dyDescent="0.3">
      <c r="A85" t="s">
        <v>127</v>
      </c>
      <c r="B85" t="s">
        <v>18</v>
      </c>
      <c r="C85">
        <v>1.23456790123456E-2</v>
      </c>
      <c r="D85">
        <v>1</v>
      </c>
      <c r="E85" t="s">
        <v>19</v>
      </c>
      <c r="F85">
        <v>1</v>
      </c>
      <c r="G85">
        <v>0.12765957446808501</v>
      </c>
      <c r="H85">
        <v>44986521</v>
      </c>
      <c r="I85" t="s">
        <v>20</v>
      </c>
      <c r="J85">
        <v>0</v>
      </c>
      <c r="K85" t="s">
        <v>40</v>
      </c>
      <c r="L85" t="s">
        <v>22</v>
      </c>
      <c r="M85" t="s">
        <v>20</v>
      </c>
      <c r="N85" t="s">
        <v>23</v>
      </c>
      <c r="O85" t="s">
        <v>41</v>
      </c>
      <c r="P85" t="s">
        <v>25</v>
      </c>
      <c r="Q85" t="s">
        <v>62</v>
      </c>
    </row>
    <row r="86" spans="1:17" x14ac:dyDescent="0.3">
      <c r="A86" t="s">
        <v>128</v>
      </c>
      <c r="B86" t="s">
        <v>18</v>
      </c>
      <c r="C86">
        <v>1.23456790123456E-2</v>
      </c>
      <c r="D86">
        <v>1</v>
      </c>
      <c r="E86" t="s">
        <v>19</v>
      </c>
      <c r="F86">
        <v>1</v>
      </c>
      <c r="G86">
        <v>0.12631578947368399</v>
      </c>
      <c r="H86">
        <v>44986521</v>
      </c>
      <c r="I86" t="s">
        <v>20</v>
      </c>
      <c r="J86">
        <v>0</v>
      </c>
      <c r="K86" t="s">
        <v>40</v>
      </c>
      <c r="L86" t="s">
        <v>22</v>
      </c>
      <c r="M86" t="s">
        <v>20</v>
      </c>
      <c r="N86" t="s">
        <v>23</v>
      </c>
      <c r="O86" t="s">
        <v>41</v>
      </c>
      <c r="P86" t="s">
        <v>25</v>
      </c>
      <c r="Q86" t="s">
        <v>62</v>
      </c>
    </row>
    <row r="87" spans="1:17" x14ac:dyDescent="0.3">
      <c r="A87" t="s">
        <v>129</v>
      </c>
      <c r="B87" t="s">
        <v>18</v>
      </c>
      <c r="C87">
        <v>1.23456790123456E-2</v>
      </c>
      <c r="D87">
        <v>1</v>
      </c>
      <c r="E87" t="s">
        <v>19</v>
      </c>
      <c r="F87">
        <v>1</v>
      </c>
      <c r="G87">
        <v>0.125</v>
      </c>
      <c r="H87">
        <v>44986521</v>
      </c>
      <c r="I87" t="s">
        <v>20</v>
      </c>
      <c r="J87">
        <v>0</v>
      </c>
      <c r="K87" t="s">
        <v>40</v>
      </c>
      <c r="L87" t="s">
        <v>22</v>
      </c>
      <c r="M87" t="s">
        <v>20</v>
      </c>
      <c r="N87" t="s">
        <v>23</v>
      </c>
      <c r="O87" t="s">
        <v>41</v>
      </c>
      <c r="P87" t="s">
        <v>25</v>
      </c>
      <c r="Q87" t="s">
        <v>62</v>
      </c>
    </row>
    <row r="88" spans="1:17" x14ac:dyDescent="0.3">
      <c r="A88" t="s">
        <v>130</v>
      </c>
      <c r="B88" t="s">
        <v>18</v>
      </c>
      <c r="C88">
        <v>1.23456790123456E-2</v>
      </c>
      <c r="D88">
        <v>1</v>
      </c>
      <c r="E88" t="s">
        <v>19</v>
      </c>
      <c r="F88">
        <v>1</v>
      </c>
      <c r="G88">
        <v>0.123711340206185</v>
      </c>
      <c r="H88">
        <v>44986521</v>
      </c>
      <c r="I88" t="s">
        <v>20</v>
      </c>
      <c r="J88">
        <v>0</v>
      </c>
      <c r="K88" t="s">
        <v>40</v>
      </c>
      <c r="L88" t="s">
        <v>22</v>
      </c>
      <c r="M88" t="s">
        <v>20</v>
      </c>
      <c r="N88" t="s">
        <v>23</v>
      </c>
      <c r="O88" t="s">
        <v>41</v>
      </c>
      <c r="P88" t="s">
        <v>25</v>
      </c>
      <c r="Q88" t="s">
        <v>62</v>
      </c>
    </row>
    <row r="89" spans="1:17" x14ac:dyDescent="0.3">
      <c r="A89" t="s">
        <v>131</v>
      </c>
      <c r="B89" t="s">
        <v>18</v>
      </c>
      <c r="C89">
        <v>1.23456790123456E-2</v>
      </c>
      <c r="D89">
        <v>1</v>
      </c>
      <c r="E89" t="s">
        <v>19</v>
      </c>
      <c r="F89">
        <v>1</v>
      </c>
      <c r="G89">
        <v>0.122448979591836</v>
      </c>
      <c r="H89">
        <v>44986521</v>
      </c>
      <c r="I89" t="s">
        <v>20</v>
      </c>
      <c r="J89">
        <v>0</v>
      </c>
      <c r="K89" t="s">
        <v>40</v>
      </c>
      <c r="L89" t="s">
        <v>22</v>
      </c>
      <c r="M89" t="s">
        <v>20</v>
      </c>
      <c r="N89" t="s">
        <v>23</v>
      </c>
      <c r="O89" t="s">
        <v>41</v>
      </c>
      <c r="P89" t="s">
        <v>25</v>
      </c>
      <c r="Q89" t="s">
        <v>62</v>
      </c>
    </row>
    <row r="90" spans="1:17" x14ac:dyDescent="0.3">
      <c r="A90" t="s">
        <v>132</v>
      </c>
      <c r="B90" t="s">
        <v>18</v>
      </c>
      <c r="C90">
        <v>1.23456790123456E-2</v>
      </c>
      <c r="D90">
        <v>1</v>
      </c>
      <c r="E90" t="s">
        <v>19</v>
      </c>
      <c r="F90">
        <v>1</v>
      </c>
      <c r="G90">
        <v>0.12121212121212099</v>
      </c>
      <c r="H90">
        <v>44986521</v>
      </c>
      <c r="I90" t="s">
        <v>20</v>
      </c>
      <c r="J90">
        <v>0</v>
      </c>
      <c r="K90" t="s">
        <v>40</v>
      </c>
      <c r="L90" t="s">
        <v>22</v>
      </c>
      <c r="M90" t="s">
        <v>20</v>
      </c>
      <c r="N90" t="s">
        <v>23</v>
      </c>
      <c r="O90" t="s">
        <v>41</v>
      </c>
      <c r="P90" t="s">
        <v>25</v>
      </c>
      <c r="Q90" t="s">
        <v>62</v>
      </c>
    </row>
    <row r="91" spans="1:17" x14ac:dyDescent="0.3">
      <c r="A91" t="s">
        <v>133</v>
      </c>
      <c r="B91" t="s">
        <v>18</v>
      </c>
      <c r="C91">
        <v>1.23456790123456E-2</v>
      </c>
      <c r="D91">
        <v>1</v>
      </c>
      <c r="E91" t="s">
        <v>19</v>
      </c>
      <c r="F91">
        <v>1</v>
      </c>
      <c r="G91">
        <v>0.12</v>
      </c>
      <c r="H91">
        <v>44986521</v>
      </c>
      <c r="I91" t="s">
        <v>20</v>
      </c>
      <c r="J91">
        <v>0</v>
      </c>
      <c r="K91" t="s">
        <v>40</v>
      </c>
      <c r="L91" t="s">
        <v>22</v>
      </c>
      <c r="M91" t="s">
        <v>20</v>
      </c>
      <c r="N91" t="s">
        <v>23</v>
      </c>
      <c r="O91" t="s">
        <v>41</v>
      </c>
      <c r="P91" t="s">
        <v>25</v>
      </c>
      <c r="Q91" t="s">
        <v>62</v>
      </c>
    </row>
    <row r="92" spans="1:17" x14ac:dyDescent="0.3">
      <c r="A92" t="s">
        <v>134</v>
      </c>
      <c r="B92" t="s">
        <v>18</v>
      </c>
      <c r="C92">
        <v>1.23456790123456E-2</v>
      </c>
      <c r="D92">
        <v>1</v>
      </c>
      <c r="E92" t="s">
        <v>19</v>
      </c>
      <c r="F92">
        <v>1</v>
      </c>
      <c r="G92">
        <v>0.118811881188118</v>
      </c>
      <c r="H92">
        <v>44986521</v>
      </c>
      <c r="I92" t="s">
        <v>20</v>
      </c>
      <c r="J92">
        <v>0</v>
      </c>
      <c r="K92" t="s">
        <v>40</v>
      </c>
      <c r="L92" t="s">
        <v>22</v>
      </c>
      <c r="M92" t="s">
        <v>20</v>
      </c>
      <c r="N92" t="s">
        <v>23</v>
      </c>
      <c r="O92" t="s">
        <v>41</v>
      </c>
      <c r="P92" t="s">
        <v>25</v>
      </c>
      <c r="Q92" t="s">
        <v>62</v>
      </c>
    </row>
    <row r="93" spans="1:17" x14ac:dyDescent="0.3">
      <c r="A93" t="s">
        <v>135</v>
      </c>
      <c r="B93" t="s">
        <v>18</v>
      </c>
      <c r="C93">
        <v>0</v>
      </c>
      <c r="D93">
        <v>0</v>
      </c>
      <c r="E93" t="s">
        <v>19</v>
      </c>
      <c r="F93">
        <v>5</v>
      </c>
      <c r="G93">
        <v>0.84090909090909005</v>
      </c>
      <c r="H93">
        <v>44795713</v>
      </c>
      <c r="I93" t="s">
        <v>20</v>
      </c>
      <c r="J93">
        <v>0</v>
      </c>
      <c r="K93" t="s">
        <v>93</v>
      </c>
      <c r="L93" t="s">
        <v>22</v>
      </c>
      <c r="M93" t="s">
        <v>20</v>
      </c>
      <c r="N93" t="s">
        <v>23</v>
      </c>
      <c r="O93" t="s">
        <v>24</v>
      </c>
      <c r="P93" t="s">
        <v>25</v>
      </c>
      <c r="Q93" t="s">
        <v>94</v>
      </c>
    </row>
    <row r="94" spans="1:17" x14ac:dyDescent="0.3">
      <c r="A94" t="s">
        <v>136</v>
      </c>
      <c r="B94" t="s">
        <v>18</v>
      </c>
      <c r="C94">
        <v>0</v>
      </c>
      <c r="D94">
        <v>0</v>
      </c>
      <c r="E94" t="s">
        <v>19</v>
      </c>
      <c r="F94">
        <v>5</v>
      </c>
      <c r="G94">
        <v>0.82222222222222197</v>
      </c>
      <c r="H94">
        <v>44795713</v>
      </c>
      <c r="I94" t="s">
        <v>20</v>
      </c>
      <c r="J94">
        <v>0</v>
      </c>
      <c r="K94" t="s">
        <v>93</v>
      </c>
      <c r="L94" t="s">
        <v>22</v>
      </c>
      <c r="M94" t="s">
        <v>20</v>
      </c>
      <c r="N94" t="s">
        <v>23</v>
      </c>
      <c r="O94" t="s">
        <v>24</v>
      </c>
      <c r="P94" t="s">
        <v>25</v>
      </c>
      <c r="Q94" t="s">
        <v>94</v>
      </c>
    </row>
    <row r="95" spans="1:17" x14ac:dyDescent="0.3">
      <c r="A95" t="s">
        <v>137</v>
      </c>
      <c r="B95" t="s">
        <v>18</v>
      </c>
      <c r="C95">
        <v>0</v>
      </c>
      <c r="D95">
        <v>0</v>
      </c>
      <c r="E95" t="s">
        <v>19</v>
      </c>
      <c r="F95">
        <v>5</v>
      </c>
      <c r="G95">
        <v>0.80434782608695599</v>
      </c>
      <c r="H95">
        <v>44795713</v>
      </c>
      <c r="I95" t="s">
        <v>20</v>
      </c>
      <c r="J95">
        <v>0</v>
      </c>
      <c r="K95" t="s">
        <v>93</v>
      </c>
      <c r="L95" t="s">
        <v>22</v>
      </c>
      <c r="M95" t="s">
        <v>20</v>
      </c>
      <c r="N95" t="s">
        <v>23</v>
      </c>
      <c r="O95" t="s">
        <v>24</v>
      </c>
      <c r="P95" t="s">
        <v>25</v>
      </c>
      <c r="Q95" t="s">
        <v>94</v>
      </c>
    </row>
    <row r="96" spans="1:17" x14ac:dyDescent="0.3">
      <c r="A96" t="s">
        <v>138</v>
      </c>
      <c r="B96" t="s">
        <v>18</v>
      </c>
      <c r="C96">
        <v>0</v>
      </c>
      <c r="D96">
        <v>0</v>
      </c>
      <c r="E96" t="s">
        <v>19</v>
      </c>
      <c r="F96">
        <v>5</v>
      </c>
      <c r="G96">
        <v>0.78723404255319096</v>
      </c>
      <c r="H96">
        <v>44795713</v>
      </c>
      <c r="I96" t="s">
        <v>20</v>
      </c>
      <c r="J96">
        <v>0</v>
      </c>
      <c r="K96" t="s">
        <v>93</v>
      </c>
      <c r="L96" t="s">
        <v>22</v>
      </c>
      <c r="M96" t="s">
        <v>20</v>
      </c>
      <c r="N96" t="s">
        <v>23</v>
      </c>
      <c r="O96" t="s">
        <v>24</v>
      </c>
      <c r="P96" t="s">
        <v>25</v>
      </c>
      <c r="Q96" t="s">
        <v>94</v>
      </c>
    </row>
    <row r="97" spans="1:17" x14ac:dyDescent="0.3">
      <c r="A97" t="s">
        <v>139</v>
      </c>
      <c r="B97" t="s">
        <v>18</v>
      </c>
      <c r="C97">
        <v>0</v>
      </c>
      <c r="D97">
        <v>0</v>
      </c>
      <c r="E97" t="s">
        <v>19</v>
      </c>
      <c r="F97">
        <v>5</v>
      </c>
      <c r="G97">
        <v>0.77083333333333304</v>
      </c>
      <c r="H97">
        <v>44795713</v>
      </c>
      <c r="I97" t="s">
        <v>20</v>
      </c>
      <c r="J97">
        <v>0</v>
      </c>
      <c r="K97" t="s">
        <v>93</v>
      </c>
      <c r="L97" t="s">
        <v>22</v>
      </c>
      <c r="M97" t="s">
        <v>20</v>
      </c>
      <c r="N97" t="s">
        <v>23</v>
      </c>
      <c r="O97" t="s">
        <v>24</v>
      </c>
      <c r="P97" t="s">
        <v>25</v>
      </c>
      <c r="Q97" t="s">
        <v>94</v>
      </c>
    </row>
    <row r="98" spans="1:17" x14ac:dyDescent="0.3">
      <c r="A98" t="s">
        <v>140</v>
      </c>
      <c r="B98" t="s">
        <v>18</v>
      </c>
      <c r="C98">
        <v>1.23456790123456E-2</v>
      </c>
      <c r="D98">
        <v>1</v>
      </c>
      <c r="E98" t="s">
        <v>19</v>
      </c>
      <c r="F98">
        <v>1</v>
      </c>
      <c r="G98">
        <v>7.3170731707316999E-2</v>
      </c>
      <c r="H98">
        <v>44986521</v>
      </c>
      <c r="I98" t="s">
        <v>20</v>
      </c>
      <c r="J98">
        <v>0</v>
      </c>
      <c r="K98" t="s">
        <v>40</v>
      </c>
      <c r="L98" t="s">
        <v>22</v>
      </c>
      <c r="M98" t="s">
        <v>20</v>
      </c>
      <c r="N98" t="s">
        <v>23</v>
      </c>
      <c r="O98" t="s">
        <v>41</v>
      </c>
      <c r="P98" t="s">
        <v>25</v>
      </c>
      <c r="Q98" t="s">
        <v>62</v>
      </c>
    </row>
    <row r="99" spans="1:17" x14ac:dyDescent="0.3">
      <c r="A99" t="s">
        <v>141</v>
      </c>
      <c r="B99" t="s">
        <v>18</v>
      </c>
      <c r="C99">
        <v>1.23456790123456E-2</v>
      </c>
      <c r="D99">
        <v>1</v>
      </c>
      <c r="E99" t="s">
        <v>19</v>
      </c>
      <c r="F99">
        <v>1</v>
      </c>
      <c r="G99">
        <v>7.2727272727272696E-2</v>
      </c>
      <c r="H99">
        <v>44986521</v>
      </c>
      <c r="I99" t="s">
        <v>20</v>
      </c>
      <c r="J99">
        <v>0</v>
      </c>
      <c r="K99" t="s">
        <v>40</v>
      </c>
      <c r="L99" t="s">
        <v>22</v>
      </c>
      <c r="M99" t="s">
        <v>20</v>
      </c>
      <c r="N99" t="s">
        <v>23</v>
      </c>
      <c r="O99" t="s">
        <v>41</v>
      </c>
      <c r="P99" t="s">
        <v>25</v>
      </c>
      <c r="Q99" t="s">
        <v>62</v>
      </c>
    </row>
    <row r="100" spans="1:17" x14ac:dyDescent="0.3">
      <c r="A100" t="s">
        <v>142</v>
      </c>
      <c r="B100" t="s">
        <v>18</v>
      </c>
      <c r="C100">
        <v>1.23456790123456E-2</v>
      </c>
      <c r="D100">
        <v>1</v>
      </c>
      <c r="E100" t="s">
        <v>19</v>
      </c>
      <c r="F100">
        <v>1</v>
      </c>
      <c r="G100">
        <v>7.2289156626505993E-2</v>
      </c>
      <c r="H100">
        <v>44986521</v>
      </c>
      <c r="I100" t="s">
        <v>20</v>
      </c>
      <c r="J100">
        <v>0</v>
      </c>
      <c r="K100" t="s">
        <v>40</v>
      </c>
      <c r="L100" t="s">
        <v>22</v>
      </c>
      <c r="M100" t="s">
        <v>20</v>
      </c>
      <c r="N100" t="s">
        <v>23</v>
      </c>
      <c r="O100" t="s">
        <v>41</v>
      </c>
      <c r="P100" t="s">
        <v>25</v>
      </c>
      <c r="Q100" t="s">
        <v>62</v>
      </c>
    </row>
    <row r="101" spans="1:17" x14ac:dyDescent="0.3">
      <c r="A101" t="s">
        <v>143</v>
      </c>
      <c r="B101" t="s">
        <v>18</v>
      </c>
      <c r="C101">
        <v>0</v>
      </c>
      <c r="D101">
        <v>0</v>
      </c>
      <c r="E101" t="s">
        <v>19</v>
      </c>
      <c r="F101">
        <v>5</v>
      </c>
      <c r="G101">
        <v>0.69565217391304301</v>
      </c>
      <c r="H101">
        <v>44795713</v>
      </c>
      <c r="I101" t="s">
        <v>20</v>
      </c>
      <c r="J101">
        <v>0</v>
      </c>
      <c r="K101" t="s">
        <v>93</v>
      </c>
      <c r="L101" t="s">
        <v>22</v>
      </c>
      <c r="M101" t="s">
        <v>20</v>
      </c>
      <c r="N101" t="s">
        <v>23</v>
      </c>
      <c r="O101" t="s">
        <v>24</v>
      </c>
      <c r="P101" t="s">
        <v>25</v>
      </c>
      <c r="Q101" t="s">
        <v>94</v>
      </c>
    </row>
    <row r="102" spans="1:17" x14ac:dyDescent="0.3">
      <c r="A102" t="s">
        <v>144</v>
      </c>
      <c r="B102" t="s">
        <v>18</v>
      </c>
      <c r="C102">
        <v>1.19760479041916E-2</v>
      </c>
      <c r="D102">
        <v>2</v>
      </c>
      <c r="E102" t="s">
        <v>19</v>
      </c>
      <c r="F102">
        <v>2</v>
      </c>
      <c r="G102">
        <v>0.25252525252525199</v>
      </c>
      <c r="H102">
        <v>44986521</v>
      </c>
      <c r="I102" t="s">
        <v>20</v>
      </c>
      <c r="J102">
        <v>0</v>
      </c>
      <c r="K102" t="s">
        <v>40</v>
      </c>
      <c r="L102" t="s">
        <v>22</v>
      </c>
      <c r="M102" t="s">
        <v>20</v>
      </c>
      <c r="N102" t="s">
        <v>23</v>
      </c>
      <c r="O102" t="s">
        <v>41</v>
      </c>
      <c r="P102" t="s">
        <v>25</v>
      </c>
      <c r="Q102" t="s">
        <v>62</v>
      </c>
    </row>
    <row r="103" spans="1:17" x14ac:dyDescent="0.3">
      <c r="A103" t="s">
        <v>145</v>
      </c>
      <c r="B103" t="s">
        <v>18</v>
      </c>
      <c r="C103">
        <v>0.32288401253918497</v>
      </c>
      <c r="D103">
        <v>103</v>
      </c>
      <c r="E103" t="s">
        <v>19</v>
      </c>
      <c r="F103">
        <v>396</v>
      </c>
      <c r="G103">
        <v>0</v>
      </c>
      <c r="H103">
        <v>34917006</v>
      </c>
      <c r="I103" t="s">
        <v>20</v>
      </c>
      <c r="J103">
        <v>0</v>
      </c>
      <c r="K103" t="s">
        <v>96</v>
      </c>
      <c r="L103" t="s">
        <v>96</v>
      </c>
      <c r="M103" t="s">
        <v>20</v>
      </c>
      <c r="N103" t="s">
        <v>23</v>
      </c>
      <c r="O103" t="s">
        <v>24</v>
      </c>
      <c r="P103" t="s">
        <v>25</v>
      </c>
      <c r="Q103" t="s">
        <v>146</v>
      </c>
    </row>
    <row r="104" spans="1:17" x14ac:dyDescent="0.3">
      <c r="A104" t="s">
        <v>147</v>
      </c>
      <c r="B104" t="s">
        <v>18</v>
      </c>
      <c r="C104">
        <v>0.32288401253918497</v>
      </c>
      <c r="D104">
        <v>103</v>
      </c>
      <c r="E104" t="s">
        <v>19</v>
      </c>
      <c r="F104">
        <v>396</v>
      </c>
      <c r="G104">
        <v>0</v>
      </c>
      <c r="H104">
        <v>34917006</v>
      </c>
      <c r="I104" t="s">
        <v>20</v>
      </c>
      <c r="J104">
        <v>0</v>
      </c>
      <c r="K104" t="s">
        <v>96</v>
      </c>
      <c r="L104" t="s">
        <v>96</v>
      </c>
      <c r="M104" t="s">
        <v>20</v>
      </c>
      <c r="N104" t="s">
        <v>23</v>
      </c>
      <c r="O104" t="s">
        <v>24</v>
      </c>
      <c r="P104" t="s">
        <v>25</v>
      </c>
      <c r="Q104" t="s">
        <v>146</v>
      </c>
    </row>
    <row r="105" spans="1:17" x14ac:dyDescent="0.3">
      <c r="A105" t="s">
        <v>148</v>
      </c>
      <c r="B105" t="s">
        <v>18</v>
      </c>
      <c r="C105">
        <v>0.14677700348431999</v>
      </c>
      <c r="D105">
        <v>337</v>
      </c>
      <c r="E105" t="s">
        <v>19</v>
      </c>
      <c r="F105">
        <v>2343</v>
      </c>
      <c r="G105">
        <v>0.8</v>
      </c>
      <c r="H105">
        <v>8200826</v>
      </c>
      <c r="I105" t="s">
        <v>20</v>
      </c>
      <c r="J105">
        <v>922514082</v>
      </c>
      <c r="K105" t="s">
        <v>21</v>
      </c>
      <c r="L105" t="s">
        <v>22</v>
      </c>
      <c r="M105" t="s">
        <v>20</v>
      </c>
      <c r="N105" t="s">
        <v>23</v>
      </c>
      <c r="O105" t="s">
        <v>24</v>
      </c>
      <c r="P105" t="s">
        <v>25</v>
      </c>
      <c r="Q105" t="s">
        <v>26</v>
      </c>
    </row>
    <row r="106" spans="1:17" x14ac:dyDescent="0.3">
      <c r="A106" t="s">
        <v>149</v>
      </c>
      <c r="B106" t="s">
        <v>18</v>
      </c>
      <c r="C106">
        <v>0.14677700348431999</v>
      </c>
      <c r="D106">
        <v>337</v>
      </c>
      <c r="E106" t="s">
        <v>19</v>
      </c>
      <c r="F106">
        <v>2343</v>
      </c>
      <c r="G106">
        <v>0.80392156862745101</v>
      </c>
      <c r="H106">
        <v>8200826</v>
      </c>
      <c r="I106" t="s">
        <v>20</v>
      </c>
      <c r="J106">
        <v>922514082</v>
      </c>
      <c r="K106" t="s">
        <v>21</v>
      </c>
      <c r="L106" t="s">
        <v>22</v>
      </c>
      <c r="M106" t="s">
        <v>20</v>
      </c>
      <c r="N106" t="s">
        <v>23</v>
      </c>
      <c r="O106" t="s">
        <v>24</v>
      </c>
      <c r="P106" t="s">
        <v>25</v>
      </c>
      <c r="Q106" t="s">
        <v>26</v>
      </c>
    </row>
    <row r="107" spans="1:17" x14ac:dyDescent="0.3">
      <c r="A107" t="s">
        <v>150</v>
      </c>
      <c r="B107" t="s">
        <v>18</v>
      </c>
      <c r="C107">
        <v>0.18181818181818099</v>
      </c>
      <c r="D107">
        <v>2</v>
      </c>
      <c r="E107" t="s">
        <v>19</v>
      </c>
      <c r="F107">
        <v>282</v>
      </c>
      <c r="G107">
        <v>0.57142857142857095</v>
      </c>
      <c r="H107">
        <v>37669736</v>
      </c>
      <c r="I107" t="s">
        <v>20</v>
      </c>
      <c r="J107">
        <v>0</v>
      </c>
      <c r="K107" t="s">
        <v>151</v>
      </c>
      <c r="L107" t="s">
        <v>22</v>
      </c>
      <c r="M107" t="s">
        <v>20</v>
      </c>
      <c r="N107" t="s">
        <v>23</v>
      </c>
      <c r="O107" t="s">
        <v>24</v>
      </c>
      <c r="P107" t="s">
        <v>25</v>
      </c>
      <c r="Q107" t="s">
        <v>152</v>
      </c>
    </row>
    <row r="108" spans="1:17" x14ac:dyDescent="0.3">
      <c r="A108" t="s">
        <v>153</v>
      </c>
      <c r="B108" t="s">
        <v>18</v>
      </c>
      <c r="C108">
        <v>0.18181818181818099</v>
      </c>
      <c r="D108">
        <v>2</v>
      </c>
      <c r="E108" t="s">
        <v>19</v>
      </c>
      <c r="F108">
        <v>282</v>
      </c>
      <c r="G108">
        <v>0.54545454545454497</v>
      </c>
      <c r="H108">
        <v>37669736</v>
      </c>
      <c r="I108" t="s">
        <v>20</v>
      </c>
      <c r="J108">
        <v>0</v>
      </c>
      <c r="K108" t="s">
        <v>151</v>
      </c>
      <c r="L108" t="s">
        <v>22</v>
      </c>
      <c r="M108" t="s">
        <v>20</v>
      </c>
      <c r="N108" t="s">
        <v>23</v>
      </c>
      <c r="O108" t="s">
        <v>24</v>
      </c>
      <c r="P108" t="s">
        <v>25</v>
      </c>
      <c r="Q108" t="s">
        <v>152</v>
      </c>
    </row>
    <row r="109" spans="1:17" x14ac:dyDescent="0.3">
      <c r="A109" t="s">
        <v>154</v>
      </c>
      <c r="B109" t="s">
        <v>18</v>
      </c>
      <c r="C109">
        <v>0.14527320034692101</v>
      </c>
      <c r="D109">
        <v>335</v>
      </c>
      <c r="E109" t="s">
        <v>19</v>
      </c>
      <c r="F109">
        <v>2345</v>
      </c>
      <c r="G109">
        <v>0.78947368421052599</v>
      </c>
      <c r="H109">
        <v>8200826</v>
      </c>
      <c r="I109" t="s">
        <v>20</v>
      </c>
      <c r="J109">
        <v>922514082</v>
      </c>
      <c r="K109" t="s">
        <v>21</v>
      </c>
      <c r="L109" t="s">
        <v>22</v>
      </c>
      <c r="M109" t="s">
        <v>20</v>
      </c>
      <c r="N109" t="s">
        <v>23</v>
      </c>
      <c r="O109" t="s">
        <v>24</v>
      </c>
      <c r="P109" t="s">
        <v>25</v>
      </c>
      <c r="Q109" t="s">
        <v>26</v>
      </c>
    </row>
    <row r="110" spans="1:17" x14ac:dyDescent="0.3">
      <c r="A110" t="s">
        <v>155</v>
      </c>
      <c r="B110" t="s">
        <v>18</v>
      </c>
      <c r="C110">
        <v>0.14527320034692101</v>
      </c>
      <c r="D110">
        <v>335</v>
      </c>
      <c r="E110" t="s">
        <v>19</v>
      </c>
      <c r="F110">
        <v>2345</v>
      </c>
      <c r="G110">
        <v>0.76923076923076905</v>
      </c>
      <c r="H110">
        <v>8200826</v>
      </c>
      <c r="I110" t="s">
        <v>20</v>
      </c>
      <c r="J110">
        <v>922514082</v>
      </c>
      <c r="K110" t="s">
        <v>21</v>
      </c>
      <c r="L110" t="s">
        <v>22</v>
      </c>
      <c r="M110" t="s">
        <v>20</v>
      </c>
      <c r="N110" t="s">
        <v>23</v>
      </c>
      <c r="O110" t="s">
        <v>24</v>
      </c>
      <c r="P110" t="s">
        <v>25</v>
      </c>
      <c r="Q110" t="s">
        <v>26</v>
      </c>
    </row>
    <row r="111" spans="1:17" x14ac:dyDescent="0.3">
      <c r="A111" t="s">
        <v>156</v>
      </c>
      <c r="B111" t="s">
        <v>18</v>
      </c>
      <c r="C111">
        <v>0.14513350559862101</v>
      </c>
      <c r="D111">
        <v>337</v>
      </c>
      <c r="E111" t="s">
        <v>19</v>
      </c>
      <c r="F111">
        <v>2347</v>
      </c>
      <c r="G111">
        <v>0.67346938775510201</v>
      </c>
      <c r="H111">
        <v>8200826</v>
      </c>
      <c r="I111" t="s">
        <v>20</v>
      </c>
      <c r="J111">
        <v>922514082</v>
      </c>
      <c r="K111" t="s">
        <v>21</v>
      </c>
      <c r="L111" t="s">
        <v>22</v>
      </c>
      <c r="M111" t="s">
        <v>20</v>
      </c>
      <c r="N111" t="s">
        <v>23</v>
      </c>
      <c r="O111" t="s">
        <v>24</v>
      </c>
      <c r="P111" t="s">
        <v>25</v>
      </c>
      <c r="Q111" t="s">
        <v>26</v>
      </c>
    </row>
    <row r="112" spans="1:17" x14ac:dyDescent="0.3">
      <c r="A112" t="s">
        <v>157</v>
      </c>
      <c r="B112" t="s">
        <v>18</v>
      </c>
      <c r="C112">
        <v>0.14513350559862101</v>
      </c>
      <c r="D112">
        <v>337</v>
      </c>
      <c r="E112" t="s">
        <v>19</v>
      </c>
      <c r="F112">
        <v>2347</v>
      </c>
      <c r="G112">
        <v>0.66</v>
      </c>
      <c r="H112">
        <v>8200826</v>
      </c>
      <c r="I112" t="s">
        <v>20</v>
      </c>
      <c r="J112">
        <v>922514082</v>
      </c>
      <c r="K112" t="s">
        <v>21</v>
      </c>
      <c r="L112" t="s">
        <v>22</v>
      </c>
      <c r="M112" t="s">
        <v>20</v>
      </c>
      <c r="N112" t="s">
        <v>23</v>
      </c>
      <c r="O112" t="s">
        <v>24</v>
      </c>
      <c r="P112" t="s">
        <v>25</v>
      </c>
      <c r="Q112" t="s">
        <v>26</v>
      </c>
    </row>
    <row r="113" spans="1:17" x14ac:dyDescent="0.3">
      <c r="A113" t="s">
        <v>158</v>
      </c>
      <c r="B113" t="s">
        <v>159</v>
      </c>
      <c r="C113">
        <v>0</v>
      </c>
      <c r="D113">
        <v>0</v>
      </c>
      <c r="E113" t="s">
        <v>19</v>
      </c>
      <c r="F113">
        <v>249</v>
      </c>
      <c r="G113">
        <v>0.9</v>
      </c>
      <c r="H113">
        <v>38375955</v>
      </c>
      <c r="I113" t="s">
        <v>20</v>
      </c>
      <c r="J113">
        <v>0</v>
      </c>
      <c r="K113" t="s">
        <v>160</v>
      </c>
      <c r="L113" t="s">
        <v>22</v>
      </c>
      <c r="M113" t="s">
        <v>20</v>
      </c>
      <c r="N113" t="s">
        <v>23</v>
      </c>
      <c r="O113" t="s">
        <v>24</v>
      </c>
      <c r="P113" t="s">
        <v>25</v>
      </c>
      <c r="Q113" t="s">
        <v>161</v>
      </c>
    </row>
    <row r="114" spans="1:17" x14ac:dyDescent="0.3">
      <c r="A114" t="s">
        <v>162</v>
      </c>
      <c r="B114" t="s">
        <v>18</v>
      </c>
      <c r="C114">
        <v>0</v>
      </c>
      <c r="D114">
        <v>0</v>
      </c>
      <c r="E114" t="s">
        <v>19</v>
      </c>
      <c r="F114">
        <v>16</v>
      </c>
      <c r="G114">
        <v>0.97938144329896903</v>
      </c>
      <c r="H114">
        <v>44464690</v>
      </c>
      <c r="I114" t="s">
        <v>20</v>
      </c>
      <c r="J114">
        <v>1332325685</v>
      </c>
      <c r="K114" t="s">
        <v>65</v>
      </c>
      <c r="L114" t="s">
        <v>22</v>
      </c>
      <c r="M114" t="s">
        <v>20</v>
      </c>
      <c r="N114" t="s">
        <v>23</v>
      </c>
      <c r="O114" t="s">
        <v>24</v>
      </c>
      <c r="P114" t="s">
        <v>25</v>
      </c>
      <c r="Q114" t="s">
        <v>66</v>
      </c>
    </row>
    <row r="115" spans="1:17" x14ac:dyDescent="0.3">
      <c r="A115" t="s">
        <v>163</v>
      </c>
      <c r="B115" t="s">
        <v>18</v>
      </c>
      <c r="C115">
        <v>0</v>
      </c>
      <c r="D115">
        <v>0</v>
      </c>
      <c r="E115" t="s">
        <v>19</v>
      </c>
      <c r="F115">
        <v>16</v>
      </c>
      <c r="G115">
        <v>0.97435897435897401</v>
      </c>
      <c r="H115">
        <v>44464690</v>
      </c>
      <c r="I115" t="s">
        <v>20</v>
      </c>
      <c r="J115">
        <v>1332325685</v>
      </c>
      <c r="K115" t="s">
        <v>65</v>
      </c>
      <c r="L115" t="s">
        <v>22</v>
      </c>
      <c r="M115" t="s">
        <v>20</v>
      </c>
      <c r="N115" t="s">
        <v>23</v>
      </c>
      <c r="O115" t="s">
        <v>24</v>
      </c>
      <c r="P115" t="s">
        <v>25</v>
      </c>
      <c r="Q115" t="s">
        <v>66</v>
      </c>
    </row>
    <row r="116" spans="1:17" x14ac:dyDescent="0.3">
      <c r="A116" t="s">
        <v>164</v>
      </c>
      <c r="B116" t="s">
        <v>18</v>
      </c>
      <c r="C116">
        <v>0</v>
      </c>
      <c r="D116">
        <v>0</v>
      </c>
      <c r="E116" t="s">
        <v>19</v>
      </c>
      <c r="F116">
        <v>16</v>
      </c>
      <c r="G116">
        <v>0.96938775510204001</v>
      </c>
      <c r="H116">
        <v>44464690</v>
      </c>
      <c r="I116" t="s">
        <v>20</v>
      </c>
      <c r="J116">
        <v>1332325685</v>
      </c>
      <c r="K116" t="s">
        <v>65</v>
      </c>
      <c r="L116" t="s">
        <v>22</v>
      </c>
      <c r="M116" t="s">
        <v>20</v>
      </c>
      <c r="N116" t="s">
        <v>23</v>
      </c>
      <c r="O116" t="s">
        <v>24</v>
      </c>
      <c r="P116" t="s">
        <v>25</v>
      </c>
      <c r="Q116" t="s">
        <v>66</v>
      </c>
    </row>
    <row r="117" spans="1:17" x14ac:dyDescent="0.3">
      <c r="A117" t="s">
        <v>165</v>
      </c>
      <c r="B117" t="s">
        <v>18</v>
      </c>
      <c r="C117">
        <v>0</v>
      </c>
      <c r="D117">
        <v>0</v>
      </c>
      <c r="E117" t="s">
        <v>19</v>
      </c>
      <c r="F117">
        <v>16</v>
      </c>
      <c r="G117">
        <v>0.96446700507614203</v>
      </c>
      <c r="H117">
        <v>44464690</v>
      </c>
      <c r="I117" t="s">
        <v>20</v>
      </c>
      <c r="J117">
        <v>1332325685</v>
      </c>
      <c r="K117" t="s">
        <v>65</v>
      </c>
      <c r="L117" t="s">
        <v>22</v>
      </c>
      <c r="M117" t="s">
        <v>20</v>
      </c>
      <c r="N117" t="s">
        <v>23</v>
      </c>
      <c r="O117" t="s">
        <v>24</v>
      </c>
      <c r="P117" t="s">
        <v>25</v>
      </c>
      <c r="Q117" t="s">
        <v>66</v>
      </c>
    </row>
    <row r="118" spans="1:17" x14ac:dyDescent="0.3">
      <c r="A118" t="s">
        <v>166</v>
      </c>
      <c r="B118" t="s">
        <v>18</v>
      </c>
      <c r="C118">
        <v>0</v>
      </c>
      <c r="D118">
        <v>0</v>
      </c>
      <c r="E118" t="s">
        <v>19</v>
      </c>
      <c r="F118">
        <v>16</v>
      </c>
      <c r="G118">
        <v>0.959595959595959</v>
      </c>
      <c r="H118">
        <v>44464690</v>
      </c>
      <c r="I118" t="s">
        <v>20</v>
      </c>
      <c r="J118">
        <v>1332325685</v>
      </c>
      <c r="K118" t="s">
        <v>65</v>
      </c>
      <c r="L118" t="s">
        <v>22</v>
      </c>
      <c r="M118" t="s">
        <v>20</v>
      </c>
      <c r="N118" t="s">
        <v>23</v>
      </c>
      <c r="O118" t="s">
        <v>24</v>
      </c>
      <c r="P118" t="s">
        <v>25</v>
      </c>
      <c r="Q118" t="s">
        <v>66</v>
      </c>
    </row>
    <row r="119" spans="1:17" x14ac:dyDescent="0.3">
      <c r="A119" t="s">
        <v>167</v>
      </c>
      <c r="B119" t="s">
        <v>18</v>
      </c>
      <c r="C119">
        <v>0</v>
      </c>
      <c r="D119">
        <v>0</v>
      </c>
      <c r="E119" t="s">
        <v>19</v>
      </c>
      <c r="F119">
        <v>16</v>
      </c>
      <c r="G119">
        <v>0.95477386934673303</v>
      </c>
      <c r="H119">
        <v>44464690</v>
      </c>
      <c r="I119" t="s">
        <v>20</v>
      </c>
      <c r="J119">
        <v>1332325685</v>
      </c>
      <c r="K119" t="s">
        <v>65</v>
      </c>
      <c r="L119" t="s">
        <v>22</v>
      </c>
      <c r="M119" t="s">
        <v>20</v>
      </c>
      <c r="N119" t="s">
        <v>23</v>
      </c>
      <c r="O119" t="s">
        <v>24</v>
      </c>
      <c r="P119" t="s">
        <v>25</v>
      </c>
      <c r="Q119" t="s">
        <v>66</v>
      </c>
    </row>
    <row r="120" spans="1:17" x14ac:dyDescent="0.3">
      <c r="A120" t="s">
        <v>168</v>
      </c>
      <c r="B120" t="s">
        <v>18</v>
      </c>
      <c r="C120">
        <v>0</v>
      </c>
      <c r="D120">
        <v>0</v>
      </c>
      <c r="E120" t="s">
        <v>19</v>
      </c>
      <c r="F120">
        <v>16</v>
      </c>
      <c r="G120">
        <v>0.95</v>
      </c>
      <c r="H120">
        <v>44464690</v>
      </c>
      <c r="I120" t="s">
        <v>20</v>
      </c>
      <c r="J120">
        <v>1332325685</v>
      </c>
      <c r="K120" t="s">
        <v>65</v>
      </c>
      <c r="L120" t="s">
        <v>22</v>
      </c>
      <c r="M120" t="s">
        <v>20</v>
      </c>
      <c r="N120" t="s">
        <v>23</v>
      </c>
      <c r="O120" t="s">
        <v>24</v>
      </c>
      <c r="P120" t="s">
        <v>25</v>
      </c>
      <c r="Q120" t="s">
        <v>66</v>
      </c>
    </row>
    <row r="121" spans="1:17" x14ac:dyDescent="0.3">
      <c r="A121" t="s">
        <v>169</v>
      </c>
      <c r="B121" t="s">
        <v>18</v>
      </c>
      <c r="C121">
        <v>0</v>
      </c>
      <c r="D121">
        <v>0</v>
      </c>
      <c r="E121" t="s">
        <v>19</v>
      </c>
      <c r="F121">
        <v>16</v>
      </c>
      <c r="G121">
        <v>0.94527363184079605</v>
      </c>
      <c r="H121">
        <v>44464690</v>
      </c>
      <c r="I121" t="s">
        <v>20</v>
      </c>
      <c r="J121">
        <v>1332325685</v>
      </c>
      <c r="K121" t="s">
        <v>65</v>
      </c>
      <c r="L121" t="s">
        <v>22</v>
      </c>
      <c r="M121" t="s">
        <v>20</v>
      </c>
      <c r="N121" t="s">
        <v>23</v>
      </c>
      <c r="O121" t="s">
        <v>24</v>
      </c>
      <c r="P121" t="s">
        <v>25</v>
      </c>
      <c r="Q121" t="s">
        <v>66</v>
      </c>
    </row>
    <row r="122" spans="1:17" x14ac:dyDescent="0.3">
      <c r="A122" t="s">
        <v>170</v>
      </c>
      <c r="B122" t="s">
        <v>18</v>
      </c>
      <c r="C122">
        <v>0.15812431842966099</v>
      </c>
      <c r="D122">
        <v>145</v>
      </c>
      <c r="E122" t="s">
        <v>19</v>
      </c>
      <c r="F122">
        <v>690</v>
      </c>
      <c r="G122">
        <v>0.81578947368420995</v>
      </c>
      <c r="H122">
        <v>28625427</v>
      </c>
      <c r="I122" t="s">
        <v>20</v>
      </c>
      <c r="J122">
        <v>1192123022</v>
      </c>
      <c r="K122" t="s">
        <v>96</v>
      </c>
      <c r="L122" t="s">
        <v>96</v>
      </c>
      <c r="M122" t="s">
        <v>20</v>
      </c>
      <c r="N122" t="s">
        <v>23</v>
      </c>
      <c r="O122" t="s">
        <v>41</v>
      </c>
      <c r="P122" t="s">
        <v>25</v>
      </c>
      <c r="Q122" t="s">
        <v>97</v>
      </c>
    </row>
    <row r="123" spans="1:17" x14ac:dyDescent="0.3">
      <c r="A123" t="s">
        <v>171</v>
      </c>
      <c r="B123" t="s">
        <v>18</v>
      </c>
      <c r="C123">
        <v>0</v>
      </c>
      <c r="D123">
        <v>0</v>
      </c>
      <c r="E123" t="s">
        <v>19</v>
      </c>
      <c r="F123">
        <v>16</v>
      </c>
      <c r="G123">
        <v>0.98453608247422597</v>
      </c>
      <c r="H123">
        <v>44464690</v>
      </c>
      <c r="I123" t="s">
        <v>20</v>
      </c>
      <c r="J123">
        <v>1332325685</v>
      </c>
      <c r="K123" t="s">
        <v>65</v>
      </c>
      <c r="L123" t="s">
        <v>22</v>
      </c>
      <c r="M123" t="s">
        <v>20</v>
      </c>
      <c r="N123" t="s">
        <v>23</v>
      </c>
      <c r="O123" t="s">
        <v>24</v>
      </c>
      <c r="P123" t="s">
        <v>25</v>
      </c>
      <c r="Q123" t="s">
        <v>66</v>
      </c>
    </row>
    <row r="124" spans="1:17" x14ac:dyDescent="0.3">
      <c r="A124" t="s">
        <v>172</v>
      </c>
      <c r="B124" t="s">
        <v>18</v>
      </c>
      <c r="C124">
        <v>0</v>
      </c>
      <c r="D124">
        <v>0</v>
      </c>
      <c r="E124" t="s">
        <v>19</v>
      </c>
      <c r="F124">
        <v>16</v>
      </c>
      <c r="G124">
        <v>0.979487179487179</v>
      </c>
      <c r="H124">
        <v>44464690</v>
      </c>
      <c r="I124" t="s">
        <v>20</v>
      </c>
      <c r="J124">
        <v>1332325685</v>
      </c>
      <c r="K124" t="s">
        <v>65</v>
      </c>
      <c r="L124" t="s">
        <v>22</v>
      </c>
      <c r="M124" t="s">
        <v>20</v>
      </c>
      <c r="N124" t="s">
        <v>23</v>
      </c>
      <c r="O124" t="s">
        <v>24</v>
      </c>
      <c r="P124" t="s">
        <v>25</v>
      </c>
      <c r="Q124" t="s">
        <v>66</v>
      </c>
    </row>
    <row r="125" spans="1:17" x14ac:dyDescent="0.3">
      <c r="A125" t="s">
        <v>173</v>
      </c>
      <c r="B125" t="s">
        <v>18</v>
      </c>
      <c r="C125">
        <v>0</v>
      </c>
      <c r="D125">
        <v>0</v>
      </c>
      <c r="E125" t="s">
        <v>19</v>
      </c>
      <c r="F125">
        <v>16</v>
      </c>
      <c r="G125">
        <v>0.97448979591836704</v>
      </c>
      <c r="H125">
        <v>44464690</v>
      </c>
      <c r="I125" t="s">
        <v>20</v>
      </c>
      <c r="J125">
        <v>1332325685</v>
      </c>
      <c r="K125" t="s">
        <v>65</v>
      </c>
      <c r="L125" t="s">
        <v>22</v>
      </c>
      <c r="M125" t="s">
        <v>20</v>
      </c>
      <c r="N125" t="s">
        <v>23</v>
      </c>
      <c r="O125" t="s">
        <v>24</v>
      </c>
      <c r="P125" t="s">
        <v>25</v>
      </c>
      <c r="Q125" t="s">
        <v>66</v>
      </c>
    </row>
    <row r="126" spans="1:17" x14ac:dyDescent="0.3">
      <c r="A126" t="s">
        <v>174</v>
      </c>
      <c r="B126" t="s">
        <v>18</v>
      </c>
      <c r="C126">
        <v>0</v>
      </c>
      <c r="D126">
        <v>0</v>
      </c>
      <c r="E126" t="s">
        <v>19</v>
      </c>
      <c r="F126">
        <v>16</v>
      </c>
      <c r="G126">
        <v>0.96954314720812096</v>
      </c>
      <c r="H126">
        <v>44464690</v>
      </c>
      <c r="I126" t="s">
        <v>20</v>
      </c>
      <c r="J126">
        <v>1332325685</v>
      </c>
      <c r="K126" t="s">
        <v>65</v>
      </c>
      <c r="L126" t="s">
        <v>22</v>
      </c>
      <c r="M126" t="s">
        <v>20</v>
      </c>
      <c r="N126" t="s">
        <v>23</v>
      </c>
      <c r="O126" t="s">
        <v>24</v>
      </c>
      <c r="P126" t="s">
        <v>25</v>
      </c>
      <c r="Q126" t="s">
        <v>66</v>
      </c>
    </row>
    <row r="127" spans="1:17" x14ac:dyDescent="0.3">
      <c r="A127" t="s">
        <v>175</v>
      </c>
      <c r="B127" t="s">
        <v>18</v>
      </c>
      <c r="C127">
        <v>0</v>
      </c>
      <c r="D127">
        <v>0</v>
      </c>
      <c r="E127" t="s">
        <v>19</v>
      </c>
      <c r="F127">
        <v>16</v>
      </c>
      <c r="G127">
        <v>0.96464646464646397</v>
      </c>
      <c r="H127">
        <v>44464690</v>
      </c>
      <c r="I127" t="s">
        <v>20</v>
      </c>
      <c r="J127">
        <v>1332325685</v>
      </c>
      <c r="K127" t="s">
        <v>65</v>
      </c>
      <c r="L127" t="s">
        <v>22</v>
      </c>
      <c r="M127" t="s">
        <v>20</v>
      </c>
      <c r="N127" t="s">
        <v>23</v>
      </c>
      <c r="O127" t="s">
        <v>24</v>
      </c>
      <c r="P127" t="s">
        <v>25</v>
      </c>
      <c r="Q127" t="s">
        <v>66</v>
      </c>
    </row>
    <row r="128" spans="1:17" x14ac:dyDescent="0.3">
      <c r="A128" t="s">
        <v>176</v>
      </c>
      <c r="B128" t="s">
        <v>18</v>
      </c>
      <c r="C128">
        <v>0</v>
      </c>
      <c r="D128">
        <v>0</v>
      </c>
      <c r="E128" t="s">
        <v>19</v>
      </c>
      <c r="F128">
        <v>16</v>
      </c>
      <c r="G128">
        <v>0.95979899497487398</v>
      </c>
      <c r="H128">
        <v>44464690</v>
      </c>
      <c r="I128" t="s">
        <v>20</v>
      </c>
      <c r="J128">
        <v>1332325685</v>
      </c>
      <c r="K128" t="s">
        <v>65</v>
      </c>
      <c r="L128" t="s">
        <v>22</v>
      </c>
      <c r="M128" t="s">
        <v>20</v>
      </c>
      <c r="N128" t="s">
        <v>23</v>
      </c>
      <c r="O128" t="s">
        <v>24</v>
      </c>
      <c r="P128" t="s">
        <v>25</v>
      </c>
      <c r="Q128" t="s">
        <v>66</v>
      </c>
    </row>
    <row r="129" spans="1:17" x14ac:dyDescent="0.3">
      <c r="A129" t="s">
        <v>177</v>
      </c>
      <c r="B129" t="s">
        <v>18</v>
      </c>
      <c r="C129">
        <v>0</v>
      </c>
      <c r="D129">
        <v>0</v>
      </c>
      <c r="E129" t="s">
        <v>19</v>
      </c>
      <c r="F129">
        <v>16</v>
      </c>
      <c r="G129">
        <v>0.95499999999999996</v>
      </c>
      <c r="H129">
        <v>44464690</v>
      </c>
      <c r="I129" t="s">
        <v>20</v>
      </c>
      <c r="J129">
        <v>1332325685</v>
      </c>
      <c r="K129" t="s">
        <v>65</v>
      </c>
      <c r="L129" t="s">
        <v>22</v>
      </c>
      <c r="M129" t="s">
        <v>20</v>
      </c>
      <c r="N129" t="s">
        <v>23</v>
      </c>
      <c r="O129" t="s">
        <v>24</v>
      </c>
      <c r="P129" t="s">
        <v>25</v>
      </c>
      <c r="Q129" t="s">
        <v>66</v>
      </c>
    </row>
    <row r="130" spans="1:17" x14ac:dyDescent="0.3">
      <c r="A130" t="s">
        <v>178</v>
      </c>
      <c r="B130" t="s">
        <v>18</v>
      </c>
      <c r="C130">
        <v>0</v>
      </c>
      <c r="D130">
        <v>0</v>
      </c>
      <c r="E130" t="s">
        <v>19</v>
      </c>
      <c r="F130">
        <v>16</v>
      </c>
      <c r="G130">
        <v>0.95024875621890503</v>
      </c>
      <c r="H130">
        <v>44464690</v>
      </c>
      <c r="I130" t="s">
        <v>20</v>
      </c>
      <c r="J130">
        <v>1332325685</v>
      </c>
      <c r="K130" t="s">
        <v>65</v>
      </c>
      <c r="L130" t="s">
        <v>22</v>
      </c>
      <c r="M130" t="s">
        <v>20</v>
      </c>
      <c r="N130" t="s">
        <v>23</v>
      </c>
      <c r="O130" t="s">
        <v>24</v>
      </c>
      <c r="P130" t="s">
        <v>25</v>
      </c>
      <c r="Q130" t="s">
        <v>66</v>
      </c>
    </row>
    <row r="131" spans="1:17" x14ac:dyDescent="0.3">
      <c r="A131" t="s">
        <v>179</v>
      </c>
      <c r="B131" t="s">
        <v>18</v>
      </c>
      <c r="C131">
        <v>0</v>
      </c>
      <c r="D131">
        <v>0</v>
      </c>
      <c r="E131" t="s">
        <v>19</v>
      </c>
      <c r="F131">
        <v>16</v>
      </c>
      <c r="G131">
        <v>0.94554455445544505</v>
      </c>
      <c r="H131">
        <v>44464690</v>
      </c>
      <c r="I131" t="s">
        <v>20</v>
      </c>
      <c r="J131">
        <v>1332325685</v>
      </c>
      <c r="K131" t="s">
        <v>65</v>
      </c>
      <c r="L131" t="s">
        <v>22</v>
      </c>
      <c r="M131" t="s">
        <v>20</v>
      </c>
      <c r="N131" t="s">
        <v>23</v>
      </c>
      <c r="O131" t="s">
        <v>24</v>
      </c>
      <c r="P131" t="s">
        <v>25</v>
      </c>
      <c r="Q131" t="s">
        <v>66</v>
      </c>
    </row>
    <row r="132" spans="1:17" x14ac:dyDescent="0.3">
      <c r="A132" t="s">
        <v>180</v>
      </c>
      <c r="B132" t="s">
        <v>18</v>
      </c>
      <c r="C132">
        <v>0</v>
      </c>
      <c r="D132">
        <v>0</v>
      </c>
      <c r="E132" t="s">
        <v>19</v>
      </c>
      <c r="F132">
        <v>16</v>
      </c>
      <c r="G132">
        <v>0.94088669950738901</v>
      </c>
      <c r="H132">
        <v>44464690</v>
      </c>
      <c r="I132" t="s">
        <v>20</v>
      </c>
      <c r="J132">
        <v>1332325685</v>
      </c>
      <c r="K132" t="s">
        <v>65</v>
      </c>
      <c r="L132" t="s">
        <v>22</v>
      </c>
      <c r="M132" t="s">
        <v>20</v>
      </c>
      <c r="N132" t="s">
        <v>23</v>
      </c>
      <c r="O132" t="s">
        <v>24</v>
      </c>
      <c r="P132" t="s">
        <v>25</v>
      </c>
      <c r="Q132" t="s">
        <v>66</v>
      </c>
    </row>
    <row r="133" spans="1:17" x14ac:dyDescent="0.3">
      <c r="A133" t="s">
        <v>181</v>
      </c>
      <c r="B133" t="s">
        <v>18</v>
      </c>
      <c r="C133">
        <v>0</v>
      </c>
      <c r="D133">
        <v>0</v>
      </c>
      <c r="E133" t="s">
        <v>19</v>
      </c>
      <c r="F133">
        <v>17</v>
      </c>
      <c r="G133">
        <v>0.96244131455398996</v>
      </c>
      <c r="H133">
        <v>44464690</v>
      </c>
      <c r="I133" t="s">
        <v>20</v>
      </c>
      <c r="J133">
        <v>1332325685</v>
      </c>
      <c r="K133" t="s">
        <v>65</v>
      </c>
      <c r="L133" t="s">
        <v>22</v>
      </c>
      <c r="M133" t="s">
        <v>20</v>
      </c>
      <c r="N133" t="s">
        <v>23</v>
      </c>
      <c r="O133" t="s">
        <v>24</v>
      </c>
      <c r="P133" t="s">
        <v>25</v>
      </c>
      <c r="Q133" t="s">
        <v>66</v>
      </c>
    </row>
    <row r="134" spans="1:17" x14ac:dyDescent="0.3">
      <c r="A134" t="s">
        <v>182</v>
      </c>
      <c r="B134" t="s">
        <v>18</v>
      </c>
      <c r="C134">
        <v>0</v>
      </c>
      <c r="D134">
        <v>0</v>
      </c>
      <c r="E134" t="s">
        <v>19</v>
      </c>
      <c r="F134">
        <v>17</v>
      </c>
      <c r="G134">
        <v>0.95794392523364402</v>
      </c>
      <c r="H134">
        <v>44464690</v>
      </c>
      <c r="I134" t="s">
        <v>20</v>
      </c>
      <c r="J134">
        <v>1332325685</v>
      </c>
      <c r="K134" t="s">
        <v>65</v>
      </c>
      <c r="L134" t="s">
        <v>22</v>
      </c>
      <c r="M134" t="s">
        <v>20</v>
      </c>
      <c r="N134" t="s">
        <v>23</v>
      </c>
      <c r="O134" t="s">
        <v>24</v>
      </c>
      <c r="P134" t="s">
        <v>25</v>
      </c>
      <c r="Q134" t="s">
        <v>66</v>
      </c>
    </row>
    <row r="135" spans="1:17" x14ac:dyDescent="0.3">
      <c r="A135" t="s">
        <v>183</v>
      </c>
      <c r="B135" t="s">
        <v>18</v>
      </c>
      <c r="C135">
        <v>0</v>
      </c>
      <c r="D135">
        <v>0</v>
      </c>
      <c r="E135" t="s">
        <v>19</v>
      </c>
      <c r="F135">
        <v>17</v>
      </c>
      <c r="G135">
        <v>0.95348837209302295</v>
      </c>
      <c r="H135">
        <v>44464690</v>
      </c>
      <c r="I135" t="s">
        <v>20</v>
      </c>
      <c r="J135">
        <v>1332325685</v>
      </c>
      <c r="K135" t="s">
        <v>65</v>
      </c>
      <c r="L135" t="s">
        <v>22</v>
      </c>
      <c r="M135" t="s">
        <v>20</v>
      </c>
      <c r="N135" t="s">
        <v>23</v>
      </c>
      <c r="O135" t="s">
        <v>24</v>
      </c>
      <c r="P135" t="s">
        <v>25</v>
      </c>
      <c r="Q135" t="s">
        <v>66</v>
      </c>
    </row>
    <row r="136" spans="1:17" x14ac:dyDescent="0.3">
      <c r="A136" t="s">
        <v>184</v>
      </c>
      <c r="B136" t="s">
        <v>18</v>
      </c>
      <c r="C136">
        <v>0</v>
      </c>
      <c r="D136">
        <v>0</v>
      </c>
      <c r="E136" t="s">
        <v>19</v>
      </c>
      <c r="F136">
        <v>17</v>
      </c>
      <c r="G136">
        <v>0.94907407407407396</v>
      </c>
      <c r="H136">
        <v>44464690</v>
      </c>
      <c r="I136" t="s">
        <v>20</v>
      </c>
      <c r="J136">
        <v>1332325685</v>
      </c>
      <c r="K136" t="s">
        <v>65</v>
      </c>
      <c r="L136" t="s">
        <v>22</v>
      </c>
      <c r="M136" t="s">
        <v>20</v>
      </c>
      <c r="N136" t="s">
        <v>23</v>
      </c>
      <c r="O136" t="s">
        <v>24</v>
      </c>
      <c r="P136" t="s">
        <v>25</v>
      </c>
      <c r="Q136" t="s">
        <v>66</v>
      </c>
    </row>
    <row r="137" spans="1:17" x14ac:dyDescent="0.3">
      <c r="A137" t="s">
        <v>185</v>
      </c>
      <c r="B137" t="s">
        <v>18</v>
      </c>
      <c r="C137">
        <v>0</v>
      </c>
      <c r="D137">
        <v>0</v>
      </c>
      <c r="E137" t="s">
        <v>19</v>
      </c>
      <c r="F137">
        <v>17</v>
      </c>
      <c r="G137">
        <v>0.94470046082949299</v>
      </c>
      <c r="H137">
        <v>44464690</v>
      </c>
      <c r="I137" t="s">
        <v>20</v>
      </c>
      <c r="J137">
        <v>1332325685</v>
      </c>
      <c r="K137" t="s">
        <v>65</v>
      </c>
      <c r="L137" t="s">
        <v>22</v>
      </c>
      <c r="M137" t="s">
        <v>20</v>
      </c>
      <c r="N137" t="s">
        <v>23</v>
      </c>
      <c r="O137" t="s">
        <v>24</v>
      </c>
      <c r="P137" t="s">
        <v>25</v>
      </c>
      <c r="Q137" t="s">
        <v>66</v>
      </c>
    </row>
    <row r="138" spans="1:17" x14ac:dyDescent="0.3">
      <c r="A138" t="s">
        <v>186</v>
      </c>
      <c r="B138" t="s">
        <v>18</v>
      </c>
      <c r="C138">
        <v>0</v>
      </c>
      <c r="D138">
        <v>0</v>
      </c>
      <c r="E138" t="s">
        <v>19</v>
      </c>
      <c r="F138">
        <v>17</v>
      </c>
      <c r="G138">
        <v>0.94036697247706402</v>
      </c>
      <c r="H138">
        <v>44464690</v>
      </c>
      <c r="I138" t="s">
        <v>20</v>
      </c>
      <c r="J138">
        <v>1332325685</v>
      </c>
      <c r="K138" t="s">
        <v>65</v>
      </c>
      <c r="L138" t="s">
        <v>22</v>
      </c>
      <c r="M138" t="s">
        <v>20</v>
      </c>
      <c r="N138" t="s">
        <v>23</v>
      </c>
      <c r="O138" t="s">
        <v>24</v>
      </c>
      <c r="P138" t="s">
        <v>25</v>
      </c>
      <c r="Q138" t="s">
        <v>66</v>
      </c>
    </row>
    <row r="139" spans="1:17" x14ac:dyDescent="0.3">
      <c r="A139" t="s">
        <v>187</v>
      </c>
      <c r="B139" t="s">
        <v>18</v>
      </c>
      <c r="C139">
        <v>0</v>
      </c>
      <c r="D139">
        <v>0</v>
      </c>
      <c r="E139" t="s">
        <v>19</v>
      </c>
      <c r="F139">
        <v>17</v>
      </c>
      <c r="G139">
        <v>0.93607305936073004</v>
      </c>
      <c r="H139">
        <v>44464690</v>
      </c>
      <c r="I139" t="s">
        <v>20</v>
      </c>
      <c r="J139">
        <v>1332325685</v>
      </c>
      <c r="K139" t="s">
        <v>65</v>
      </c>
      <c r="L139" t="s">
        <v>22</v>
      </c>
      <c r="M139" t="s">
        <v>20</v>
      </c>
      <c r="N139" t="s">
        <v>23</v>
      </c>
      <c r="O139" t="s">
        <v>24</v>
      </c>
      <c r="P139" t="s">
        <v>25</v>
      </c>
      <c r="Q139" t="s">
        <v>66</v>
      </c>
    </row>
    <row r="140" spans="1:17" x14ac:dyDescent="0.3">
      <c r="A140" t="s">
        <v>188</v>
      </c>
      <c r="B140" t="s">
        <v>18</v>
      </c>
      <c r="C140">
        <v>2.6315789473684199E-2</v>
      </c>
      <c r="D140">
        <v>1</v>
      </c>
      <c r="E140" t="s">
        <v>19</v>
      </c>
      <c r="F140">
        <v>164</v>
      </c>
      <c r="G140">
        <v>1</v>
      </c>
      <c r="H140">
        <v>40546651</v>
      </c>
      <c r="I140" t="s">
        <v>20</v>
      </c>
      <c r="J140">
        <v>0</v>
      </c>
      <c r="K140" t="s">
        <v>120</v>
      </c>
      <c r="L140" t="s">
        <v>22</v>
      </c>
      <c r="M140" t="s">
        <v>20</v>
      </c>
      <c r="N140" t="s">
        <v>23</v>
      </c>
      <c r="O140" t="s">
        <v>24</v>
      </c>
      <c r="P140" t="s">
        <v>25</v>
      </c>
      <c r="Q140" t="s">
        <v>189</v>
      </c>
    </row>
    <row r="141" spans="1:17" x14ac:dyDescent="0.3">
      <c r="A141" t="s">
        <v>190</v>
      </c>
      <c r="B141" t="s">
        <v>18</v>
      </c>
      <c r="C141">
        <v>0.14513350559862101</v>
      </c>
      <c r="D141">
        <v>337</v>
      </c>
      <c r="E141" t="s">
        <v>19</v>
      </c>
      <c r="F141">
        <v>2347</v>
      </c>
      <c r="G141">
        <v>0.8</v>
      </c>
      <c r="H141">
        <v>8200826</v>
      </c>
      <c r="I141" t="s">
        <v>20</v>
      </c>
      <c r="J141">
        <v>922514082</v>
      </c>
      <c r="K141" t="s">
        <v>21</v>
      </c>
      <c r="L141" t="s">
        <v>22</v>
      </c>
      <c r="M141" t="s">
        <v>20</v>
      </c>
      <c r="N141" t="s">
        <v>23</v>
      </c>
      <c r="O141" t="s">
        <v>24</v>
      </c>
      <c r="P141" t="s">
        <v>25</v>
      </c>
      <c r="Q141" t="s">
        <v>26</v>
      </c>
    </row>
    <row r="142" spans="1:17" x14ac:dyDescent="0.3">
      <c r="A142" t="s">
        <v>191</v>
      </c>
      <c r="B142" t="s">
        <v>18</v>
      </c>
      <c r="C142">
        <v>0</v>
      </c>
      <c r="D142">
        <v>0</v>
      </c>
      <c r="E142" t="s">
        <v>19</v>
      </c>
      <c r="F142">
        <v>188</v>
      </c>
      <c r="G142">
        <v>0</v>
      </c>
      <c r="H142">
        <v>40007087</v>
      </c>
      <c r="I142" t="s">
        <v>20</v>
      </c>
      <c r="J142">
        <v>0</v>
      </c>
      <c r="K142" t="s">
        <v>151</v>
      </c>
      <c r="L142" t="s">
        <v>22</v>
      </c>
      <c r="M142" t="s">
        <v>20</v>
      </c>
      <c r="N142" t="s">
        <v>23</v>
      </c>
      <c r="O142" t="s">
        <v>41</v>
      </c>
      <c r="P142" t="s">
        <v>25</v>
      </c>
      <c r="Q142" t="s">
        <v>192</v>
      </c>
    </row>
    <row r="143" spans="1:17" x14ac:dyDescent="0.3">
      <c r="A143" t="s">
        <v>193</v>
      </c>
      <c r="B143" t="s">
        <v>18</v>
      </c>
      <c r="C143">
        <v>0</v>
      </c>
      <c r="D143">
        <v>0</v>
      </c>
      <c r="E143" t="s">
        <v>19</v>
      </c>
      <c r="F143">
        <v>17</v>
      </c>
      <c r="G143">
        <v>0.98086124401913799</v>
      </c>
      <c r="H143">
        <v>44464690</v>
      </c>
      <c r="I143" t="s">
        <v>20</v>
      </c>
      <c r="J143">
        <v>1332325685</v>
      </c>
      <c r="K143" t="s">
        <v>65</v>
      </c>
      <c r="L143" t="s">
        <v>22</v>
      </c>
      <c r="M143" t="s">
        <v>20</v>
      </c>
      <c r="N143" t="s">
        <v>23</v>
      </c>
      <c r="O143" t="s">
        <v>24</v>
      </c>
      <c r="P143" t="s">
        <v>25</v>
      </c>
      <c r="Q143" t="s">
        <v>66</v>
      </c>
    </row>
    <row r="144" spans="1:17" x14ac:dyDescent="0.3">
      <c r="A144" t="s">
        <v>194</v>
      </c>
      <c r="B144" t="s">
        <v>18</v>
      </c>
      <c r="C144">
        <v>0</v>
      </c>
      <c r="D144">
        <v>0</v>
      </c>
      <c r="E144" t="s">
        <v>19</v>
      </c>
      <c r="F144">
        <v>17</v>
      </c>
      <c r="G144">
        <v>0.97619047619047605</v>
      </c>
      <c r="H144">
        <v>44464690</v>
      </c>
      <c r="I144" t="s">
        <v>20</v>
      </c>
      <c r="J144">
        <v>1332325685</v>
      </c>
      <c r="K144" t="s">
        <v>65</v>
      </c>
      <c r="L144" t="s">
        <v>22</v>
      </c>
      <c r="M144" t="s">
        <v>20</v>
      </c>
      <c r="N144" t="s">
        <v>23</v>
      </c>
      <c r="O144" t="s">
        <v>24</v>
      </c>
      <c r="P144" t="s">
        <v>25</v>
      </c>
      <c r="Q144" t="s">
        <v>66</v>
      </c>
    </row>
    <row r="145" spans="1:17" x14ac:dyDescent="0.3">
      <c r="A145" t="s">
        <v>195</v>
      </c>
      <c r="B145" t="s">
        <v>18</v>
      </c>
      <c r="C145">
        <v>1.19760479041916E-2</v>
      </c>
      <c r="D145">
        <v>2</v>
      </c>
      <c r="E145" t="s">
        <v>19</v>
      </c>
      <c r="F145">
        <v>2</v>
      </c>
      <c r="G145">
        <v>0.26595744680851002</v>
      </c>
      <c r="H145">
        <v>44986521</v>
      </c>
      <c r="I145" t="s">
        <v>20</v>
      </c>
      <c r="J145">
        <v>0</v>
      </c>
      <c r="K145" t="s">
        <v>40</v>
      </c>
      <c r="L145" t="s">
        <v>22</v>
      </c>
      <c r="M145" t="s">
        <v>20</v>
      </c>
      <c r="N145" t="s">
        <v>23</v>
      </c>
      <c r="O145" t="s">
        <v>41</v>
      </c>
      <c r="P145" t="s">
        <v>25</v>
      </c>
      <c r="Q145" t="s">
        <v>62</v>
      </c>
    </row>
    <row r="146" spans="1:17" x14ac:dyDescent="0.3">
      <c r="A146" t="s">
        <v>196</v>
      </c>
      <c r="B146" t="s">
        <v>18</v>
      </c>
      <c r="C146">
        <v>1.19760479041916E-2</v>
      </c>
      <c r="D146">
        <v>2</v>
      </c>
      <c r="E146" t="s">
        <v>19</v>
      </c>
      <c r="F146">
        <v>2</v>
      </c>
      <c r="G146">
        <v>0.26455026455026398</v>
      </c>
      <c r="H146">
        <v>44986521</v>
      </c>
      <c r="I146" t="s">
        <v>20</v>
      </c>
      <c r="J146">
        <v>0</v>
      </c>
      <c r="K146" t="s">
        <v>40</v>
      </c>
      <c r="L146" t="s">
        <v>22</v>
      </c>
      <c r="M146" t="s">
        <v>20</v>
      </c>
      <c r="N146" t="s">
        <v>23</v>
      </c>
      <c r="O146" t="s">
        <v>41</v>
      </c>
      <c r="P146" t="s">
        <v>25</v>
      </c>
      <c r="Q146" t="s">
        <v>62</v>
      </c>
    </row>
    <row r="147" spans="1:17" x14ac:dyDescent="0.3">
      <c r="A147" t="s">
        <v>197</v>
      </c>
      <c r="B147" t="s">
        <v>18</v>
      </c>
      <c r="C147">
        <v>1.19760479041916E-2</v>
      </c>
      <c r="D147">
        <v>2</v>
      </c>
      <c r="E147" t="s">
        <v>19</v>
      </c>
      <c r="F147">
        <v>2</v>
      </c>
      <c r="G147">
        <v>0.26315789473684198</v>
      </c>
      <c r="H147">
        <v>44986521</v>
      </c>
      <c r="I147" t="s">
        <v>20</v>
      </c>
      <c r="J147">
        <v>0</v>
      </c>
      <c r="K147" t="s">
        <v>40</v>
      </c>
      <c r="L147" t="s">
        <v>22</v>
      </c>
      <c r="M147" t="s">
        <v>20</v>
      </c>
      <c r="N147" t="s">
        <v>23</v>
      </c>
      <c r="O147" t="s">
        <v>41</v>
      </c>
      <c r="P147" t="s">
        <v>25</v>
      </c>
      <c r="Q147" t="s">
        <v>62</v>
      </c>
    </row>
    <row r="148" spans="1:17" x14ac:dyDescent="0.3">
      <c r="A148" t="s">
        <v>198</v>
      </c>
      <c r="B148" t="s">
        <v>18</v>
      </c>
      <c r="C148">
        <v>1.19760479041916E-2</v>
      </c>
      <c r="D148">
        <v>2</v>
      </c>
      <c r="E148" t="s">
        <v>19</v>
      </c>
      <c r="F148">
        <v>2</v>
      </c>
      <c r="G148">
        <v>0.261780104712041</v>
      </c>
      <c r="H148">
        <v>44986521</v>
      </c>
      <c r="I148" t="s">
        <v>20</v>
      </c>
      <c r="J148">
        <v>0</v>
      </c>
      <c r="K148" t="s">
        <v>40</v>
      </c>
      <c r="L148" t="s">
        <v>22</v>
      </c>
      <c r="M148" t="s">
        <v>20</v>
      </c>
      <c r="N148" t="s">
        <v>23</v>
      </c>
      <c r="O148" t="s">
        <v>41</v>
      </c>
      <c r="P148" t="s">
        <v>25</v>
      </c>
      <c r="Q148" t="s">
        <v>62</v>
      </c>
    </row>
    <row r="149" spans="1:17" x14ac:dyDescent="0.3">
      <c r="A149" t="s">
        <v>199</v>
      </c>
      <c r="B149" t="s">
        <v>18</v>
      </c>
      <c r="C149">
        <v>0</v>
      </c>
      <c r="D149">
        <v>0</v>
      </c>
      <c r="E149" t="s">
        <v>19</v>
      </c>
      <c r="F149">
        <v>16</v>
      </c>
      <c r="G149">
        <v>1.0494505494505399</v>
      </c>
      <c r="H149">
        <v>44464690</v>
      </c>
      <c r="I149" t="s">
        <v>20</v>
      </c>
      <c r="J149">
        <v>1332325685</v>
      </c>
      <c r="K149" t="s">
        <v>65</v>
      </c>
      <c r="L149" t="s">
        <v>22</v>
      </c>
      <c r="M149" t="s">
        <v>20</v>
      </c>
      <c r="N149" t="s">
        <v>23</v>
      </c>
      <c r="O149" t="s">
        <v>24</v>
      </c>
      <c r="P149" t="s">
        <v>25</v>
      </c>
      <c r="Q149" t="s">
        <v>66</v>
      </c>
    </row>
    <row r="150" spans="1:17" x14ac:dyDescent="0.3">
      <c r="A150" t="s">
        <v>200</v>
      </c>
      <c r="B150" t="s">
        <v>18</v>
      </c>
      <c r="C150">
        <v>0</v>
      </c>
      <c r="D150">
        <v>0</v>
      </c>
      <c r="E150" t="s">
        <v>19</v>
      </c>
      <c r="F150">
        <v>16</v>
      </c>
      <c r="G150">
        <v>1.04371584699453</v>
      </c>
      <c r="H150">
        <v>44464690</v>
      </c>
      <c r="I150" t="s">
        <v>20</v>
      </c>
      <c r="J150">
        <v>1332325685</v>
      </c>
      <c r="K150" t="s">
        <v>65</v>
      </c>
      <c r="L150" t="s">
        <v>22</v>
      </c>
      <c r="M150" t="s">
        <v>20</v>
      </c>
      <c r="N150" t="s">
        <v>23</v>
      </c>
      <c r="O150" t="s">
        <v>24</v>
      </c>
      <c r="P150" t="s">
        <v>25</v>
      </c>
      <c r="Q150" t="s">
        <v>66</v>
      </c>
    </row>
    <row r="151" spans="1:17" x14ac:dyDescent="0.3">
      <c r="A151" t="s">
        <v>201</v>
      </c>
      <c r="B151" t="s">
        <v>18</v>
      </c>
      <c r="C151">
        <v>0</v>
      </c>
      <c r="D151">
        <v>0</v>
      </c>
      <c r="E151" t="s">
        <v>19</v>
      </c>
      <c r="F151">
        <v>16</v>
      </c>
      <c r="G151">
        <v>1.0380434782608601</v>
      </c>
      <c r="H151">
        <v>44464690</v>
      </c>
      <c r="I151" t="s">
        <v>20</v>
      </c>
      <c r="J151">
        <v>1332325685</v>
      </c>
      <c r="K151" t="s">
        <v>65</v>
      </c>
      <c r="L151" t="s">
        <v>22</v>
      </c>
      <c r="M151" t="s">
        <v>20</v>
      </c>
      <c r="N151" t="s">
        <v>23</v>
      </c>
      <c r="O151" t="s">
        <v>24</v>
      </c>
      <c r="P151" t="s">
        <v>25</v>
      </c>
      <c r="Q151" t="s">
        <v>66</v>
      </c>
    </row>
    <row r="152" spans="1:17" x14ac:dyDescent="0.3">
      <c r="A152" t="s">
        <v>202</v>
      </c>
      <c r="B152" t="s">
        <v>18</v>
      </c>
      <c r="C152">
        <v>0</v>
      </c>
      <c r="D152">
        <v>0</v>
      </c>
      <c r="E152" t="s">
        <v>19</v>
      </c>
      <c r="F152">
        <v>16</v>
      </c>
      <c r="G152">
        <v>1.0324324324324301</v>
      </c>
      <c r="H152">
        <v>44464690</v>
      </c>
      <c r="I152" t="s">
        <v>20</v>
      </c>
      <c r="J152">
        <v>1332325685</v>
      </c>
      <c r="K152" t="s">
        <v>65</v>
      </c>
      <c r="L152" t="s">
        <v>22</v>
      </c>
      <c r="M152" t="s">
        <v>20</v>
      </c>
      <c r="N152" t="s">
        <v>23</v>
      </c>
      <c r="O152" t="s">
        <v>24</v>
      </c>
      <c r="P152" t="s">
        <v>25</v>
      </c>
      <c r="Q152" t="s">
        <v>66</v>
      </c>
    </row>
    <row r="153" spans="1:17" x14ac:dyDescent="0.3">
      <c r="A153" t="s">
        <v>203</v>
      </c>
      <c r="B153" t="s">
        <v>18</v>
      </c>
      <c r="C153">
        <v>0</v>
      </c>
      <c r="D153">
        <v>0</v>
      </c>
      <c r="E153" t="s">
        <v>19</v>
      </c>
      <c r="F153">
        <v>16</v>
      </c>
      <c r="G153">
        <v>1.0268817204301</v>
      </c>
      <c r="H153">
        <v>44464690</v>
      </c>
      <c r="I153" t="s">
        <v>20</v>
      </c>
      <c r="J153">
        <v>1332325685</v>
      </c>
      <c r="K153" t="s">
        <v>65</v>
      </c>
      <c r="L153" t="s">
        <v>22</v>
      </c>
      <c r="M153" t="s">
        <v>20</v>
      </c>
      <c r="N153" t="s">
        <v>23</v>
      </c>
      <c r="O153" t="s">
        <v>24</v>
      </c>
      <c r="P153" t="s">
        <v>25</v>
      </c>
      <c r="Q153" t="s">
        <v>66</v>
      </c>
    </row>
    <row r="154" spans="1:17" x14ac:dyDescent="0.3">
      <c r="A154" t="s">
        <v>204</v>
      </c>
      <c r="B154" t="s">
        <v>18</v>
      </c>
      <c r="C154">
        <v>0</v>
      </c>
      <c r="D154">
        <v>0</v>
      </c>
      <c r="E154" t="s">
        <v>19</v>
      </c>
      <c r="F154">
        <v>16</v>
      </c>
      <c r="G154">
        <v>1.02139037433155</v>
      </c>
      <c r="H154">
        <v>44464690</v>
      </c>
      <c r="I154" t="s">
        <v>20</v>
      </c>
      <c r="J154">
        <v>1332325685</v>
      </c>
      <c r="K154" t="s">
        <v>65</v>
      </c>
      <c r="L154" t="s">
        <v>22</v>
      </c>
      <c r="M154" t="s">
        <v>20</v>
      </c>
      <c r="N154" t="s">
        <v>23</v>
      </c>
      <c r="O154" t="s">
        <v>24</v>
      </c>
      <c r="P154" t="s">
        <v>25</v>
      </c>
      <c r="Q154" t="s">
        <v>66</v>
      </c>
    </row>
    <row r="155" spans="1:17" x14ac:dyDescent="0.3">
      <c r="A155" t="s">
        <v>205</v>
      </c>
      <c r="B155" t="s">
        <v>18</v>
      </c>
      <c r="C155">
        <v>0</v>
      </c>
      <c r="D155">
        <v>0</v>
      </c>
      <c r="E155" t="s">
        <v>19</v>
      </c>
      <c r="F155">
        <v>16</v>
      </c>
      <c r="G155">
        <v>1.01595744680851</v>
      </c>
      <c r="H155">
        <v>44464690</v>
      </c>
      <c r="I155" t="s">
        <v>20</v>
      </c>
      <c r="J155">
        <v>1332325685</v>
      </c>
      <c r="K155" t="s">
        <v>65</v>
      </c>
      <c r="L155" t="s">
        <v>22</v>
      </c>
      <c r="M155" t="s">
        <v>20</v>
      </c>
      <c r="N155" t="s">
        <v>23</v>
      </c>
      <c r="O155" t="s">
        <v>24</v>
      </c>
      <c r="P155" t="s">
        <v>25</v>
      </c>
      <c r="Q155" t="s">
        <v>66</v>
      </c>
    </row>
    <row r="156" spans="1:17" x14ac:dyDescent="0.3">
      <c r="A156" t="s">
        <v>206</v>
      </c>
      <c r="B156" t="s">
        <v>18</v>
      </c>
      <c r="C156">
        <v>0</v>
      </c>
      <c r="D156">
        <v>0</v>
      </c>
      <c r="E156" t="s">
        <v>19</v>
      </c>
      <c r="F156">
        <v>16</v>
      </c>
      <c r="G156">
        <v>1.01058201058201</v>
      </c>
      <c r="H156">
        <v>44464690</v>
      </c>
      <c r="I156" t="s">
        <v>20</v>
      </c>
      <c r="J156">
        <v>1332325685</v>
      </c>
      <c r="K156" t="s">
        <v>65</v>
      </c>
      <c r="L156" t="s">
        <v>22</v>
      </c>
      <c r="M156" t="s">
        <v>20</v>
      </c>
      <c r="N156" t="s">
        <v>23</v>
      </c>
      <c r="O156" t="s">
        <v>24</v>
      </c>
      <c r="P156" t="s">
        <v>25</v>
      </c>
      <c r="Q156" t="s">
        <v>66</v>
      </c>
    </row>
    <row r="157" spans="1:17" x14ac:dyDescent="0.3">
      <c r="A157" t="s">
        <v>207</v>
      </c>
      <c r="B157" t="s">
        <v>18</v>
      </c>
      <c r="C157">
        <v>1.23456790123456E-2</v>
      </c>
      <c r="D157">
        <v>1</v>
      </c>
      <c r="E157" t="s">
        <v>19</v>
      </c>
      <c r="F157">
        <v>1</v>
      </c>
      <c r="G157">
        <v>0.101694915254237</v>
      </c>
      <c r="H157">
        <v>44986521</v>
      </c>
      <c r="I157" t="s">
        <v>20</v>
      </c>
      <c r="J157">
        <v>0</v>
      </c>
      <c r="K157" t="s">
        <v>40</v>
      </c>
      <c r="L157" t="s">
        <v>22</v>
      </c>
      <c r="M157" t="s">
        <v>20</v>
      </c>
      <c r="N157" t="s">
        <v>23</v>
      </c>
      <c r="O157" t="s">
        <v>41</v>
      </c>
      <c r="P157" t="s">
        <v>25</v>
      </c>
      <c r="Q157" t="s">
        <v>62</v>
      </c>
    </row>
    <row r="158" spans="1:17" x14ac:dyDescent="0.3">
      <c r="A158" t="s">
        <v>208</v>
      </c>
      <c r="B158" t="s">
        <v>18</v>
      </c>
      <c r="C158">
        <v>1.23456790123456E-2</v>
      </c>
      <c r="D158">
        <v>1</v>
      </c>
      <c r="E158" t="s">
        <v>19</v>
      </c>
      <c r="F158">
        <v>1</v>
      </c>
      <c r="G158">
        <v>9.8360655737704902E-2</v>
      </c>
      <c r="H158">
        <v>44986521</v>
      </c>
      <c r="I158" t="s">
        <v>20</v>
      </c>
      <c r="J158">
        <v>0</v>
      </c>
      <c r="K158" t="s">
        <v>40</v>
      </c>
      <c r="L158" t="s">
        <v>22</v>
      </c>
      <c r="M158" t="s">
        <v>20</v>
      </c>
      <c r="N158" t="s">
        <v>23</v>
      </c>
      <c r="O158" t="s">
        <v>41</v>
      </c>
      <c r="P158" t="s">
        <v>25</v>
      </c>
      <c r="Q158" t="s">
        <v>62</v>
      </c>
    </row>
    <row r="159" spans="1:17" x14ac:dyDescent="0.3">
      <c r="A159" t="s">
        <v>209</v>
      </c>
      <c r="B159" t="s">
        <v>18</v>
      </c>
      <c r="C159">
        <v>1.23456790123456E-2</v>
      </c>
      <c r="D159">
        <v>1</v>
      </c>
      <c r="E159" t="s">
        <v>19</v>
      </c>
      <c r="F159">
        <v>1</v>
      </c>
      <c r="G159">
        <v>9.7560975609756101E-2</v>
      </c>
      <c r="H159">
        <v>44986521</v>
      </c>
      <c r="I159" t="s">
        <v>20</v>
      </c>
      <c r="J159">
        <v>0</v>
      </c>
      <c r="K159" t="s">
        <v>40</v>
      </c>
      <c r="L159" t="s">
        <v>22</v>
      </c>
      <c r="M159" t="s">
        <v>20</v>
      </c>
      <c r="N159" t="s">
        <v>23</v>
      </c>
      <c r="O159" t="s">
        <v>41</v>
      </c>
      <c r="P159" t="s">
        <v>25</v>
      </c>
      <c r="Q159" t="s">
        <v>62</v>
      </c>
    </row>
    <row r="160" spans="1:17" x14ac:dyDescent="0.3">
      <c r="A160" t="s">
        <v>210</v>
      </c>
      <c r="B160" t="s">
        <v>18</v>
      </c>
      <c r="C160">
        <v>1.23456790123456E-2</v>
      </c>
      <c r="D160">
        <v>1</v>
      </c>
      <c r="E160" t="s">
        <v>19</v>
      </c>
      <c r="F160">
        <v>1</v>
      </c>
      <c r="G160">
        <v>9.6774193548387094E-2</v>
      </c>
      <c r="H160">
        <v>44986521</v>
      </c>
      <c r="I160" t="s">
        <v>20</v>
      </c>
      <c r="J160">
        <v>0</v>
      </c>
      <c r="K160" t="s">
        <v>40</v>
      </c>
      <c r="L160" t="s">
        <v>22</v>
      </c>
      <c r="M160" t="s">
        <v>20</v>
      </c>
      <c r="N160" t="s">
        <v>23</v>
      </c>
      <c r="O160" t="s">
        <v>41</v>
      </c>
      <c r="P160" t="s">
        <v>25</v>
      </c>
      <c r="Q160" t="s">
        <v>62</v>
      </c>
    </row>
    <row r="161" spans="1:17" x14ac:dyDescent="0.3">
      <c r="A161" t="s">
        <v>211</v>
      </c>
      <c r="B161" t="s">
        <v>18</v>
      </c>
      <c r="C161">
        <v>1.23456790123456E-2</v>
      </c>
      <c r="D161">
        <v>1</v>
      </c>
      <c r="E161" t="s">
        <v>19</v>
      </c>
      <c r="F161">
        <v>1</v>
      </c>
      <c r="G161">
        <v>9.6000000000000002E-2</v>
      </c>
      <c r="H161">
        <v>44986521</v>
      </c>
      <c r="I161" t="s">
        <v>20</v>
      </c>
      <c r="J161">
        <v>0</v>
      </c>
      <c r="K161" t="s">
        <v>40</v>
      </c>
      <c r="L161" t="s">
        <v>22</v>
      </c>
      <c r="M161" t="s">
        <v>20</v>
      </c>
      <c r="N161" t="s">
        <v>23</v>
      </c>
      <c r="O161" t="s">
        <v>41</v>
      </c>
      <c r="P161" t="s">
        <v>25</v>
      </c>
      <c r="Q161" t="s">
        <v>62</v>
      </c>
    </row>
    <row r="162" spans="1:17" x14ac:dyDescent="0.3">
      <c r="A162" t="s">
        <v>212</v>
      </c>
      <c r="B162" t="s">
        <v>18</v>
      </c>
      <c r="C162">
        <v>1.23456790123456E-2</v>
      </c>
      <c r="D162">
        <v>1</v>
      </c>
      <c r="E162" t="s">
        <v>19</v>
      </c>
      <c r="F162">
        <v>1</v>
      </c>
      <c r="G162">
        <v>9.5238095238095205E-2</v>
      </c>
      <c r="H162">
        <v>44986521</v>
      </c>
      <c r="I162" t="s">
        <v>20</v>
      </c>
      <c r="J162">
        <v>0</v>
      </c>
      <c r="K162" t="s">
        <v>40</v>
      </c>
      <c r="L162" t="s">
        <v>22</v>
      </c>
      <c r="M162" t="s">
        <v>20</v>
      </c>
      <c r="N162" t="s">
        <v>23</v>
      </c>
      <c r="O162" t="s">
        <v>41</v>
      </c>
      <c r="P162" t="s">
        <v>25</v>
      </c>
      <c r="Q162" t="s">
        <v>62</v>
      </c>
    </row>
    <row r="163" spans="1:17" x14ac:dyDescent="0.3">
      <c r="A163" t="s">
        <v>213</v>
      </c>
      <c r="B163" t="s">
        <v>18</v>
      </c>
      <c r="C163">
        <v>1.23456790123456E-2</v>
      </c>
      <c r="D163">
        <v>1</v>
      </c>
      <c r="E163" t="s">
        <v>19</v>
      </c>
      <c r="F163">
        <v>1</v>
      </c>
      <c r="G163">
        <v>9.4488188976377896E-2</v>
      </c>
      <c r="H163">
        <v>44986521</v>
      </c>
      <c r="I163" t="s">
        <v>20</v>
      </c>
      <c r="J163">
        <v>0</v>
      </c>
      <c r="K163" t="s">
        <v>40</v>
      </c>
      <c r="L163" t="s">
        <v>22</v>
      </c>
      <c r="M163" t="s">
        <v>20</v>
      </c>
      <c r="N163" t="s">
        <v>23</v>
      </c>
      <c r="O163" t="s">
        <v>41</v>
      </c>
      <c r="P163" t="s">
        <v>25</v>
      </c>
      <c r="Q163" t="s">
        <v>62</v>
      </c>
    </row>
    <row r="164" spans="1:17" x14ac:dyDescent="0.3">
      <c r="A164" t="s">
        <v>214</v>
      </c>
      <c r="B164" t="s">
        <v>18</v>
      </c>
      <c r="C164">
        <v>1.23456790123456E-2</v>
      </c>
      <c r="D164">
        <v>1</v>
      </c>
      <c r="E164" t="s">
        <v>19</v>
      </c>
      <c r="F164">
        <v>1</v>
      </c>
      <c r="G164">
        <v>9.375E-2</v>
      </c>
      <c r="H164">
        <v>44986521</v>
      </c>
      <c r="I164" t="s">
        <v>20</v>
      </c>
      <c r="J164">
        <v>0</v>
      </c>
      <c r="K164" t="s">
        <v>40</v>
      </c>
      <c r="L164" t="s">
        <v>22</v>
      </c>
      <c r="M164" t="s">
        <v>20</v>
      </c>
      <c r="N164" t="s">
        <v>23</v>
      </c>
      <c r="O164" t="s">
        <v>41</v>
      </c>
      <c r="P164" t="s">
        <v>25</v>
      </c>
      <c r="Q164" t="s">
        <v>62</v>
      </c>
    </row>
    <row r="165" spans="1:17" x14ac:dyDescent="0.3">
      <c r="A165" t="s">
        <v>215</v>
      </c>
      <c r="B165" t="s">
        <v>18</v>
      </c>
      <c r="C165">
        <v>1.23456790123456E-2</v>
      </c>
      <c r="D165">
        <v>1</v>
      </c>
      <c r="E165" t="s">
        <v>19</v>
      </c>
      <c r="F165">
        <v>1</v>
      </c>
      <c r="G165">
        <v>9.3023255813953404E-2</v>
      </c>
      <c r="H165">
        <v>44986521</v>
      </c>
      <c r="I165" t="s">
        <v>20</v>
      </c>
      <c r="J165">
        <v>0</v>
      </c>
      <c r="K165" t="s">
        <v>40</v>
      </c>
      <c r="L165" t="s">
        <v>22</v>
      </c>
      <c r="M165" t="s">
        <v>20</v>
      </c>
      <c r="N165" t="s">
        <v>23</v>
      </c>
      <c r="O165" t="s">
        <v>41</v>
      </c>
      <c r="P165" t="s">
        <v>25</v>
      </c>
      <c r="Q165" t="s">
        <v>62</v>
      </c>
    </row>
    <row r="166" spans="1:17" x14ac:dyDescent="0.3">
      <c r="A166" t="s">
        <v>216</v>
      </c>
      <c r="B166" t="s">
        <v>18</v>
      </c>
      <c r="C166">
        <v>1.23456790123456E-2</v>
      </c>
      <c r="D166">
        <v>1</v>
      </c>
      <c r="E166" t="s">
        <v>19</v>
      </c>
      <c r="F166">
        <v>1</v>
      </c>
      <c r="G166">
        <v>9.2307692307692299E-2</v>
      </c>
      <c r="H166">
        <v>44986521</v>
      </c>
      <c r="I166" t="s">
        <v>20</v>
      </c>
      <c r="J166">
        <v>0</v>
      </c>
      <c r="K166" t="s">
        <v>40</v>
      </c>
      <c r="L166" t="s">
        <v>22</v>
      </c>
      <c r="M166" t="s">
        <v>20</v>
      </c>
      <c r="N166" t="s">
        <v>23</v>
      </c>
      <c r="O166" t="s">
        <v>41</v>
      </c>
      <c r="P166" t="s">
        <v>25</v>
      </c>
      <c r="Q166" t="s">
        <v>62</v>
      </c>
    </row>
    <row r="167" spans="1:17" x14ac:dyDescent="0.3">
      <c r="A167" t="s">
        <v>217</v>
      </c>
      <c r="B167" t="s">
        <v>18</v>
      </c>
      <c r="C167">
        <v>1.23456790123456E-2</v>
      </c>
      <c r="D167">
        <v>1</v>
      </c>
      <c r="E167" t="s">
        <v>19</v>
      </c>
      <c r="F167">
        <v>1</v>
      </c>
      <c r="G167">
        <v>9.1603053435114504E-2</v>
      </c>
      <c r="H167">
        <v>44986521</v>
      </c>
      <c r="I167" t="s">
        <v>20</v>
      </c>
      <c r="J167">
        <v>0</v>
      </c>
      <c r="K167" t="s">
        <v>40</v>
      </c>
      <c r="L167" t="s">
        <v>22</v>
      </c>
      <c r="M167" t="s">
        <v>20</v>
      </c>
      <c r="N167" t="s">
        <v>23</v>
      </c>
      <c r="O167" t="s">
        <v>41</v>
      </c>
      <c r="P167" t="s">
        <v>25</v>
      </c>
      <c r="Q167" t="s">
        <v>62</v>
      </c>
    </row>
    <row r="168" spans="1:17" x14ac:dyDescent="0.3">
      <c r="A168" t="s">
        <v>218</v>
      </c>
      <c r="B168" t="s">
        <v>18</v>
      </c>
      <c r="C168">
        <v>1.23456790123456E-2</v>
      </c>
      <c r="D168">
        <v>1</v>
      </c>
      <c r="E168" t="s">
        <v>19</v>
      </c>
      <c r="F168">
        <v>1</v>
      </c>
      <c r="G168">
        <v>9.0909090909090898E-2</v>
      </c>
      <c r="H168">
        <v>44986521</v>
      </c>
      <c r="I168" t="s">
        <v>20</v>
      </c>
      <c r="J168">
        <v>0</v>
      </c>
      <c r="K168" t="s">
        <v>40</v>
      </c>
      <c r="L168" t="s">
        <v>22</v>
      </c>
      <c r="M168" t="s">
        <v>20</v>
      </c>
      <c r="N168" t="s">
        <v>23</v>
      </c>
      <c r="O168" t="s">
        <v>41</v>
      </c>
      <c r="P168" t="s">
        <v>25</v>
      </c>
      <c r="Q168" t="s">
        <v>62</v>
      </c>
    </row>
    <row r="169" spans="1:17" x14ac:dyDescent="0.3">
      <c r="A169" t="s">
        <v>219</v>
      </c>
      <c r="B169" t="s">
        <v>18</v>
      </c>
      <c r="C169">
        <v>1.23456790123456E-2</v>
      </c>
      <c r="D169">
        <v>1</v>
      </c>
      <c r="E169" t="s">
        <v>19</v>
      </c>
      <c r="F169">
        <v>1</v>
      </c>
      <c r="G169">
        <v>9.0225563909774403E-2</v>
      </c>
      <c r="H169">
        <v>44986521</v>
      </c>
      <c r="I169" t="s">
        <v>20</v>
      </c>
      <c r="J169">
        <v>0</v>
      </c>
      <c r="K169" t="s">
        <v>40</v>
      </c>
      <c r="L169" t="s">
        <v>22</v>
      </c>
      <c r="M169" t="s">
        <v>20</v>
      </c>
      <c r="N169" t="s">
        <v>23</v>
      </c>
      <c r="O169" t="s">
        <v>41</v>
      </c>
      <c r="P169" t="s">
        <v>25</v>
      </c>
      <c r="Q169" t="s">
        <v>62</v>
      </c>
    </row>
    <row r="170" spans="1:17" x14ac:dyDescent="0.3">
      <c r="A170" t="s">
        <v>220</v>
      </c>
      <c r="B170" t="s">
        <v>18</v>
      </c>
      <c r="C170">
        <v>1.23456790123456E-2</v>
      </c>
      <c r="D170">
        <v>1</v>
      </c>
      <c r="E170" t="s">
        <v>19</v>
      </c>
      <c r="F170">
        <v>1</v>
      </c>
      <c r="G170">
        <v>8.9552238805970102E-2</v>
      </c>
      <c r="H170">
        <v>44986521</v>
      </c>
      <c r="I170" t="s">
        <v>20</v>
      </c>
      <c r="J170">
        <v>0</v>
      </c>
      <c r="K170" t="s">
        <v>40</v>
      </c>
      <c r="L170" t="s">
        <v>22</v>
      </c>
      <c r="M170" t="s">
        <v>20</v>
      </c>
      <c r="N170" t="s">
        <v>23</v>
      </c>
      <c r="O170" t="s">
        <v>41</v>
      </c>
      <c r="P170" t="s">
        <v>25</v>
      </c>
      <c r="Q170" t="s">
        <v>62</v>
      </c>
    </row>
    <row r="171" spans="1:17" x14ac:dyDescent="0.3">
      <c r="A171" t="s">
        <v>221</v>
      </c>
      <c r="B171" t="s">
        <v>18</v>
      </c>
      <c r="C171">
        <v>1.23456790123456E-2</v>
      </c>
      <c r="D171">
        <v>1</v>
      </c>
      <c r="E171" t="s">
        <v>19</v>
      </c>
      <c r="F171">
        <v>1</v>
      </c>
      <c r="G171">
        <v>8.8888888888888795E-2</v>
      </c>
      <c r="H171">
        <v>44986521</v>
      </c>
      <c r="I171" t="s">
        <v>20</v>
      </c>
      <c r="J171">
        <v>0</v>
      </c>
      <c r="K171" t="s">
        <v>40</v>
      </c>
      <c r="L171" t="s">
        <v>22</v>
      </c>
      <c r="M171" t="s">
        <v>20</v>
      </c>
      <c r="N171" t="s">
        <v>23</v>
      </c>
      <c r="O171" t="s">
        <v>41</v>
      </c>
      <c r="P171" t="s">
        <v>25</v>
      </c>
      <c r="Q171" t="s">
        <v>62</v>
      </c>
    </row>
    <row r="172" spans="1:17" x14ac:dyDescent="0.3">
      <c r="A172" t="s">
        <v>222</v>
      </c>
      <c r="B172" t="s">
        <v>18</v>
      </c>
      <c r="C172">
        <v>1.23456790123456E-2</v>
      </c>
      <c r="D172">
        <v>1</v>
      </c>
      <c r="E172" t="s">
        <v>19</v>
      </c>
      <c r="F172">
        <v>1</v>
      </c>
      <c r="G172">
        <v>8.8235294117646995E-2</v>
      </c>
      <c r="H172">
        <v>44986521</v>
      </c>
      <c r="I172" t="s">
        <v>20</v>
      </c>
      <c r="J172">
        <v>0</v>
      </c>
      <c r="K172" t="s">
        <v>40</v>
      </c>
      <c r="L172" t="s">
        <v>22</v>
      </c>
      <c r="M172" t="s">
        <v>20</v>
      </c>
      <c r="N172" t="s">
        <v>23</v>
      </c>
      <c r="O172" t="s">
        <v>41</v>
      </c>
      <c r="P172" t="s">
        <v>25</v>
      </c>
      <c r="Q172" t="s">
        <v>62</v>
      </c>
    </row>
    <row r="173" spans="1:17" x14ac:dyDescent="0.3">
      <c r="A173" t="s">
        <v>223</v>
      </c>
      <c r="B173" t="s">
        <v>18</v>
      </c>
      <c r="C173">
        <v>1.23456790123456E-2</v>
      </c>
      <c r="D173">
        <v>1</v>
      </c>
      <c r="E173" t="s">
        <v>19</v>
      </c>
      <c r="F173">
        <v>1</v>
      </c>
      <c r="G173">
        <v>8.7591240875912399E-2</v>
      </c>
      <c r="H173">
        <v>44986521</v>
      </c>
      <c r="I173" t="s">
        <v>20</v>
      </c>
      <c r="J173">
        <v>0</v>
      </c>
      <c r="K173" t="s">
        <v>40</v>
      </c>
      <c r="L173" t="s">
        <v>22</v>
      </c>
      <c r="M173" t="s">
        <v>20</v>
      </c>
      <c r="N173" t="s">
        <v>23</v>
      </c>
      <c r="O173" t="s">
        <v>41</v>
      </c>
      <c r="P173" t="s">
        <v>25</v>
      </c>
      <c r="Q173" t="s">
        <v>62</v>
      </c>
    </row>
    <row r="174" spans="1:17" x14ac:dyDescent="0.3">
      <c r="A174" t="s">
        <v>224</v>
      </c>
      <c r="B174" t="s">
        <v>18</v>
      </c>
      <c r="C174">
        <v>1.23456790123456E-2</v>
      </c>
      <c r="D174">
        <v>1</v>
      </c>
      <c r="E174" t="s">
        <v>19</v>
      </c>
      <c r="F174">
        <v>1</v>
      </c>
      <c r="G174">
        <v>8.6956521739130405E-2</v>
      </c>
      <c r="H174">
        <v>44986521</v>
      </c>
      <c r="I174" t="s">
        <v>20</v>
      </c>
      <c r="J174">
        <v>0</v>
      </c>
      <c r="K174" t="s">
        <v>40</v>
      </c>
      <c r="L174" t="s">
        <v>22</v>
      </c>
      <c r="M174" t="s">
        <v>20</v>
      </c>
      <c r="N174" t="s">
        <v>23</v>
      </c>
      <c r="O174" t="s">
        <v>41</v>
      </c>
      <c r="P174" t="s">
        <v>25</v>
      </c>
      <c r="Q174" t="s">
        <v>62</v>
      </c>
    </row>
    <row r="175" spans="1:17" x14ac:dyDescent="0.3">
      <c r="A175" t="s">
        <v>225</v>
      </c>
      <c r="B175" t="s">
        <v>18</v>
      </c>
      <c r="C175">
        <v>1.23456790123456E-2</v>
      </c>
      <c r="D175">
        <v>1</v>
      </c>
      <c r="E175" t="s">
        <v>19</v>
      </c>
      <c r="F175">
        <v>1</v>
      </c>
      <c r="G175">
        <v>8.6330935251798496E-2</v>
      </c>
      <c r="H175">
        <v>44986521</v>
      </c>
      <c r="I175" t="s">
        <v>20</v>
      </c>
      <c r="J175">
        <v>0</v>
      </c>
      <c r="K175" t="s">
        <v>40</v>
      </c>
      <c r="L175" t="s">
        <v>22</v>
      </c>
      <c r="M175" t="s">
        <v>20</v>
      </c>
      <c r="N175" t="s">
        <v>23</v>
      </c>
      <c r="O175" t="s">
        <v>41</v>
      </c>
      <c r="P175" t="s">
        <v>25</v>
      </c>
      <c r="Q175" t="s">
        <v>62</v>
      </c>
    </row>
    <row r="176" spans="1:17" x14ac:dyDescent="0.3">
      <c r="A176" t="s">
        <v>226</v>
      </c>
      <c r="B176" t="s">
        <v>18</v>
      </c>
      <c r="C176">
        <v>1.23456790123456E-2</v>
      </c>
      <c r="D176">
        <v>1</v>
      </c>
      <c r="E176" t="s">
        <v>19</v>
      </c>
      <c r="F176">
        <v>1</v>
      </c>
      <c r="G176">
        <v>8.5714285714285701E-2</v>
      </c>
      <c r="H176">
        <v>44986521</v>
      </c>
      <c r="I176" t="s">
        <v>20</v>
      </c>
      <c r="J176">
        <v>0</v>
      </c>
      <c r="K176" t="s">
        <v>40</v>
      </c>
      <c r="L176" t="s">
        <v>22</v>
      </c>
      <c r="M176" t="s">
        <v>20</v>
      </c>
      <c r="N176" t="s">
        <v>23</v>
      </c>
      <c r="O176" t="s">
        <v>41</v>
      </c>
      <c r="P176" t="s">
        <v>25</v>
      </c>
      <c r="Q176" t="s">
        <v>62</v>
      </c>
    </row>
    <row r="177" spans="1:17" x14ac:dyDescent="0.3">
      <c r="A177" t="s">
        <v>227</v>
      </c>
      <c r="B177" t="s">
        <v>18</v>
      </c>
      <c r="C177">
        <v>1.23456790123456E-2</v>
      </c>
      <c r="D177">
        <v>1</v>
      </c>
      <c r="E177" t="s">
        <v>19</v>
      </c>
      <c r="F177">
        <v>1</v>
      </c>
      <c r="G177">
        <v>8.5106382978723402E-2</v>
      </c>
      <c r="H177">
        <v>44986521</v>
      </c>
      <c r="I177" t="s">
        <v>20</v>
      </c>
      <c r="J177">
        <v>0</v>
      </c>
      <c r="K177" t="s">
        <v>40</v>
      </c>
      <c r="L177" t="s">
        <v>22</v>
      </c>
      <c r="M177" t="s">
        <v>20</v>
      </c>
      <c r="N177" t="s">
        <v>23</v>
      </c>
      <c r="O177" t="s">
        <v>41</v>
      </c>
      <c r="P177" t="s">
        <v>25</v>
      </c>
      <c r="Q177" t="s">
        <v>62</v>
      </c>
    </row>
    <row r="178" spans="1:17" x14ac:dyDescent="0.3">
      <c r="A178" t="s">
        <v>228</v>
      </c>
      <c r="B178" t="s">
        <v>18</v>
      </c>
      <c r="C178">
        <v>1.23456790123456E-2</v>
      </c>
      <c r="D178">
        <v>1</v>
      </c>
      <c r="E178" t="s">
        <v>19</v>
      </c>
      <c r="F178">
        <v>1</v>
      </c>
      <c r="G178">
        <v>0.08</v>
      </c>
      <c r="H178">
        <v>44986521</v>
      </c>
      <c r="I178" t="s">
        <v>20</v>
      </c>
      <c r="J178">
        <v>0</v>
      </c>
      <c r="K178" t="s">
        <v>40</v>
      </c>
      <c r="L178" t="s">
        <v>22</v>
      </c>
      <c r="M178" t="s">
        <v>20</v>
      </c>
      <c r="N178" t="s">
        <v>23</v>
      </c>
      <c r="O178" t="s">
        <v>41</v>
      </c>
      <c r="P178" t="s">
        <v>25</v>
      </c>
      <c r="Q178" t="s">
        <v>62</v>
      </c>
    </row>
    <row r="179" spans="1:17" x14ac:dyDescent="0.3">
      <c r="A179" t="s">
        <v>229</v>
      </c>
      <c r="B179" t="s">
        <v>18</v>
      </c>
      <c r="C179">
        <v>1.23456790123456E-2</v>
      </c>
      <c r="D179">
        <v>1</v>
      </c>
      <c r="E179" t="s">
        <v>19</v>
      </c>
      <c r="F179">
        <v>1</v>
      </c>
      <c r="G179">
        <v>7.9470198675496595E-2</v>
      </c>
      <c r="H179">
        <v>44986521</v>
      </c>
      <c r="I179" t="s">
        <v>20</v>
      </c>
      <c r="J179">
        <v>0</v>
      </c>
      <c r="K179" t="s">
        <v>40</v>
      </c>
      <c r="L179" t="s">
        <v>22</v>
      </c>
      <c r="M179" t="s">
        <v>20</v>
      </c>
      <c r="N179" t="s">
        <v>23</v>
      </c>
      <c r="O179" t="s">
        <v>41</v>
      </c>
      <c r="P179" t="s">
        <v>25</v>
      </c>
      <c r="Q179" t="s">
        <v>62</v>
      </c>
    </row>
    <row r="180" spans="1:17" x14ac:dyDescent="0.3">
      <c r="A180" t="s">
        <v>230</v>
      </c>
      <c r="B180" t="s">
        <v>18</v>
      </c>
      <c r="C180">
        <v>1.23456790123456E-2</v>
      </c>
      <c r="D180">
        <v>1</v>
      </c>
      <c r="E180" t="s">
        <v>19</v>
      </c>
      <c r="F180">
        <v>1</v>
      </c>
      <c r="G180">
        <v>7.8947368421052599E-2</v>
      </c>
      <c r="H180">
        <v>44986521</v>
      </c>
      <c r="I180" t="s">
        <v>20</v>
      </c>
      <c r="J180">
        <v>0</v>
      </c>
      <c r="K180" t="s">
        <v>40</v>
      </c>
      <c r="L180" t="s">
        <v>22</v>
      </c>
      <c r="M180" t="s">
        <v>20</v>
      </c>
      <c r="N180" t="s">
        <v>23</v>
      </c>
      <c r="O180" t="s">
        <v>41</v>
      </c>
      <c r="P180" t="s">
        <v>25</v>
      </c>
      <c r="Q180" t="s">
        <v>62</v>
      </c>
    </row>
    <row r="181" spans="1:17" x14ac:dyDescent="0.3">
      <c r="A181" t="s">
        <v>231</v>
      </c>
      <c r="B181" t="s">
        <v>18</v>
      </c>
      <c r="C181">
        <v>1.23456790123456E-2</v>
      </c>
      <c r="D181">
        <v>1</v>
      </c>
      <c r="E181" t="s">
        <v>19</v>
      </c>
      <c r="F181">
        <v>1</v>
      </c>
      <c r="G181">
        <v>7.8431372549019607E-2</v>
      </c>
      <c r="H181">
        <v>44986521</v>
      </c>
      <c r="I181" t="s">
        <v>20</v>
      </c>
      <c r="J181">
        <v>0</v>
      </c>
      <c r="K181" t="s">
        <v>40</v>
      </c>
      <c r="L181" t="s">
        <v>22</v>
      </c>
      <c r="M181" t="s">
        <v>20</v>
      </c>
      <c r="N181" t="s">
        <v>23</v>
      </c>
      <c r="O181" t="s">
        <v>41</v>
      </c>
      <c r="P181" t="s">
        <v>25</v>
      </c>
      <c r="Q181" t="s">
        <v>62</v>
      </c>
    </row>
    <row r="182" spans="1:17" x14ac:dyDescent="0.3">
      <c r="A182" t="s">
        <v>232</v>
      </c>
      <c r="B182" t="s">
        <v>18</v>
      </c>
      <c r="C182">
        <v>1.23456790123456E-2</v>
      </c>
      <c r="D182">
        <v>1</v>
      </c>
      <c r="E182" t="s">
        <v>19</v>
      </c>
      <c r="F182">
        <v>1</v>
      </c>
      <c r="G182">
        <v>7.7922077922077906E-2</v>
      </c>
      <c r="H182">
        <v>44986521</v>
      </c>
      <c r="I182" t="s">
        <v>20</v>
      </c>
      <c r="J182">
        <v>0</v>
      </c>
      <c r="K182" t="s">
        <v>40</v>
      </c>
      <c r="L182" t="s">
        <v>22</v>
      </c>
      <c r="M182" t="s">
        <v>20</v>
      </c>
      <c r="N182" t="s">
        <v>23</v>
      </c>
      <c r="O182" t="s">
        <v>41</v>
      </c>
      <c r="P182" t="s">
        <v>25</v>
      </c>
      <c r="Q182" t="s">
        <v>62</v>
      </c>
    </row>
    <row r="183" spans="1:17" x14ac:dyDescent="0.3">
      <c r="A183" t="s">
        <v>233</v>
      </c>
      <c r="B183" t="s">
        <v>18</v>
      </c>
      <c r="C183">
        <v>1.23456790123456E-2</v>
      </c>
      <c r="D183">
        <v>1</v>
      </c>
      <c r="E183" t="s">
        <v>19</v>
      </c>
      <c r="F183">
        <v>1</v>
      </c>
      <c r="G183">
        <v>7.7419354838709598E-2</v>
      </c>
      <c r="H183">
        <v>44986521</v>
      </c>
      <c r="I183" t="s">
        <v>20</v>
      </c>
      <c r="J183">
        <v>0</v>
      </c>
      <c r="K183" t="s">
        <v>40</v>
      </c>
      <c r="L183" t="s">
        <v>22</v>
      </c>
      <c r="M183" t="s">
        <v>20</v>
      </c>
      <c r="N183" t="s">
        <v>23</v>
      </c>
      <c r="O183" t="s">
        <v>41</v>
      </c>
      <c r="P183" t="s">
        <v>25</v>
      </c>
      <c r="Q183" t="s">
        <v>62</v>
      </c>
    </row>
    <row r="184" spans="1:17" x14ac:dyDescent="0.3">
      <c r="A184" t="s">
        <v>234</v>
      </c>
      <c r="B184" t="s">
        <v>18</v>
      </c>
      <c r="C184">
        <v>1.23456790123456E-2</v>
      </c>
      <c r="D184">
        <v>1</v>
      </c>
      <c r="E184" t="s">
        <v>19</v>
      </c>
      <c r="F184">
        <v>1</v>
      </c>
      <c r="G184">
        <v>7.69230769230769E-2</v>
      </c>
      <c r="H184">
        <v>44986521</v>
      </c>
      <c r="I184" t="s">
        <v>20</v>
      </c>
      <c r="J184">
        <v>0</v>
      </c>
      <c r="K184" t="s">
        <v>40</v>
      </c>
      <c r="L184" t="s">
        <v>22</v>
      </c>
      <c r="M184" t="s">
        <v>20</v>
      </c>
      <c r="N184" t="s">
        <v>23</v>
      </c>
      <c r="O184" t="s">
        <v>41</v>
      </c>
      <c r="P184" t="s">
        <v>25</v>
      </c>
      <c r="Q184" t="s">
        <v>62</v>
      </c>
    </row>
    <row r="185" spans="1:17" x14ac:dyDescent="0.3">
      <c r="A185" t="s">
        <v>235</v>
      </c>
      <c r="B185" t="s">
        <v>18</v>
      </c>
      <c r="C185">
        <v>1.23456790123456E-2</v>
      </c>
      <c r="D185">
        <v>1</v>
      </c>
      <c r="E185" t="s">
        <v>19</v>
      </c>
      <c r="F185">
        <v>1</v>
      </c>
      <c r="G185">
        <v>7.6433121019108194E-2</v>
      </c>
      <c r="H185">
        <v>44986521</v>
      </c>
      <c r="I185" t="s">
        <v>20</v>
      </c>
      <c r="J185">
        <v>0</v>
      </c>
      <c r="K185" t="s">
        <v>40</v>
      </c>
      <c r="L185" t="s">
        <v>22</v>
      </c>
      <c r="M185" t="s">
        <v>20</v>
      </c>
      <c r="N185" t="s">
        <v>23</v>
      </c>
      <c r="O185" t="s">
        <v>41</v>
      </c>
      <c r="P185" t="s">
        <v>25</v>
      </c>
      <c r="Q185" t="s">
        <v>62</v>
      </c>
    </row>
    <row r="186" spans="1:17" x14ac:dyDescent="0.3">
      <c r="A186" t="s">
        <v>236</v>
      </c>
      <c r="B186" t="s">
        <v>18</v>
      </c>
      <c r="C186">
        <v>1.23456790123456E-2</v>
      </c>
      <c r="D186">
        <v>1</v>
      </c>
      <c r="E186" t="s">
        <v>19</v>
      </c>
      <c r="F186">
        <v>1</v>
      </c>
      <c r="G186">
        <v>7.5949367088607597E-2</v>
      </c>
      <c r="H186">
        <v>44986521</v>
      </c>
      <c r="I186" t="s">
        <v>20</v>
      </c>
      <c r="J186">
        <v>0</v>
      </c>
      <c r="K186" t="s">
        <v>40</v>
      </c>
      <c r="L186" t="s">
        <v>22</v>
      </c>
      <c r="M186" t="s">
        <v>20</v>
      </c>
      <c r="N186" t="s">
        <v>23</v>
      </c>
      <c r="O186" t="s">
        <v>41</v>
      </c>
      <c r="P186" t="s">
        <v>25</v>
      </c>
      <c r="Q186" t="s">
        <v>62</v>
      </c>
    </row>
    <row r="187" spans="1:17" x14ac:dyDescent="0.3">
      <c r="A187" t="s">
        <v>237</v>
      </c>
      <c r="B187" t="s">
        <v>18</v>
      </c>
      <c r="C187">
        <v>1.23456790123456E-2</v>
      </c>
      <c r="D187">
        <v>1</v>
      </c>
      <c r="E187" t="s">
        <v>19</v>
      </c>
      <c r="F187">
        <v>1</v>
      </c>
      <c r="G187">
        <v>7.5471698113207503E-2</v>
      </c>
      <c r="H187">
        <v>44986521</v>
      </c>
      <c r="I187" t="s">
        <v>20</v>
      </c>
      <c r="J187">
        <v>0</v>
      </c>
      <c r="K187" t="s">
        <v>40</v>
      </c>
      <c r="L187" t="s">
        <v>22</v>
      </c>
      <c r="M187" t="s">
        <v>20</v>
      </c>
      <c r="N187" t="s">
        <v>23</v>
      </c>
      <c r="O187" t="s">
        <v>41</v>
      </c>
      <c r="P187" t="s">
        <v>25</v>
      </c>
      <c r="Q187" t="s">
        <v>62</v>
      </c>
    </row>
    <row r="188" spans="1:17" x14ac:dyDescent="0.3">
      <c r="A188" t="s">
        <v>238</v>
      </c>
      <c r="B188" t="s">
        <v>18</v>
      </c>
      <c r="C188">
        <v>0.14527320034692101</v>
      </c>
      <c r="D188">
        <v>335</v>
      </c>
      <c r="E188" t="s">
        <v>19</v>
      </c>
      <c r="F188">
        <v>2345</v>
      </c>
      <c r="G188">
        <v>1.03125</v>
      </c>
      <c r="H188">
        <v>8200826</v>
      </c>
      <c r="I188" t="s">
        <v>20</v>
      </c>
      <c r="J188">
        <v>922514082</v>
      </c>
      <c r="K188" t="s">
        <v>21</v>
      </c>
      <c r="L188" t="s">
        <v>22</v>
      </c>
      <c r="M188" t="s">
        <v>20</v>
      </c>
      <c r="N188" t="s">
        <v>23</v>
      </c>
      <c r="O188" t="s">
        <v>24</v>
      </c>
      <c r="P188" t="s">
        <v>25</v>
      </c>
      <c r="Q188" t="s">
        <v>26</v>
      </c>
    </row>
    <row r="189" spans="1:17" x14ac:dyDescent="0.3">
      <c r="A189" t="s">
        <v>239</v>
      </c>
      <c r="B189" t="s">
        <v>18</v>
      </c>
      <c r="C189">
        <v>0</v>
      </c>
      <c r="D189">
        <v>0</v>
      </c>
      <c r="E189" t="s">
        <v>19</v>
      </c>
      <c r="F189">
        <v>16</v>
      </c>
      <c r="G189">
        <v>1.0674157303370699</v>
      </c>
      <c r="H189">
        <v>44464690</v>
      </c>
      <c r="I189" t="s">
        <v>20</v>
      </c>
      <c r="J189">
        <v>1332325685</v>
      </c>
      <c r="K189" t="s">
        <v>65</v>
      </c>
      <c r="L189" t="s">
        <v>22</v>
      </c>
      <c r="M189" t="s">
        <v>20</v>
      </c>
      <c r="N189" t="s">
        <v>23</v>
      </c>
      <c r="O189" t="s">
        <v>24</v>
      </c>
      <c r="P189" t="s">
        <v>25</v>
      </c>
      <c r="Q189" t="s">
        <v>66</v>
      </c>
    </row>
    <row r="190" spans="1:17" x14ac:dyDescent="0.3">
      <c r="A190" t="s">
        <v>240</v>
      </c>
      <c r="B190" t="s">
        <v>18</v>
      </c>
      <c r="C190">
        <v>0</v>
      </c>
      <c r="D190">
        <v>0</v>
      </c>
      <c r="E190" t="s">
        <v>19</v>
      </c>
      <c r="F190">
        <v>16</v>
      </c>
      <c r="G190">
        <v>1.0614525139664801</v>
      </c>
      <c r="H190">
        <v>44464690</v>
      </c>
      <c r="I190" t="s">
        <v>20</v>
      </c>
      <c r="J190">
        <v>1332325685</v>
      </c>
      <c r="K190" t="s">
        <v>65</v>
      </c>
      <c r="L190" t="s">
        <v>22</v>
      </c>
      <c r="M190" t="s">
        <v>20</v>
      </c>
      <c r="N190" t="s">
        <v>23</v>
      </c>
      <c r="O190" t="s">
        <v>24</v>
      </c>
      <c r="P190" t="s">
        <v>25</v>
      </c>
      <c r="Q190" t="s">
        <v>66</v>
      </c>
    </row>
    <row r="191" spans="1:17" x14ac:dyDescent="0.3">
      <c r="A191" t="s">
        <v>241</v>
      </c>
      <c r="B191" t="s">
        <v>18</v>
      </c>
      <c r="C191">
        <v>0</v>
      </c>
      <c r="D191">
        <v>0</v>
      </c>
      <c r="E191" t="s">
        <v>19</v>
      </c>
      <c r="F191">
        <v>16</v>
      </c>
      <c r="G191">
        <v>1.06111111111111</v>
      </c>
      <c r="H191">
        <v>44464690</v>
      </c>
      <c r="I191" t="s">
        <v>20</v>
      </c>
      <c r="J191">
        <v>1332325685</v>
      </c>
      <c r="K191" t="s">
        <v>65</v>
      </c>
      <c r="L191" t="s">
        <v>22</v>
      </c>
      <c r="M191" t="s">
        <v>20</v>
      </c>
      <c r="N191" t="s">
        <v>23</v>
      </c>
      <c r="O191" t="s">
        <v>24</v>
      </c>
      <c r="P191" t="s">
        <v>25</v>
      </c>
      <c r="Q191" t="s">
        <v>66</v>
      </c>
    </row>
    <row r="192" spans="1:17" x14ac:dyDescent="0.3">
      <c r="A192" t="s">
        <v>242</v>
      </c>
      <c r="B192" t="s">
        <v>18</v>
      </c>
      <c r="C192">
        <v>0</v>
      </c>
      <c r="D192">
        <v>0</v>
      </c>
      <c r="E192" t="s">
        <v>19</v>
      </c>
      <c r="F192">
        <v>16</v>
      </c>
      <c r="G192">
        <v>1.05524861878453</v>
      </c>
      <c r="H192">
        <v>44464690</v>
      </c>
      <c r="I192" t="s">
        <v>20</v>
      </c>
      <c r="J192">
        <v>1332325685</v>
      </c>
      <c r="K192" t="s">
        <v>65</v>
      </c>
      <c r="L192" t="s">
        <v>22</v>
      </c>
      <c r="M192" t="s">
        <v>20</v>
      </c>
      <c r="N192" t="s">
        <v>23</v>
      </c>
      <c r="O192" t="s">
        <v>24</v>
      </c>
      <c r="P192" t="s">
        <v>25</v>
      </c>
      <c r="Q192" t="s">
        <v>66</v>
      </c>
    </row>
    <row r="193" spans="1:17" x14ac:dyDescent="0.3">
      <c r="A193" t="s">
        <v>243</v>
      </c>
      <c r="B193" t="s">
        <v>18</v>
      </c>
      <c r="C193">
        <v>0.32288401253918497</v>
      </c>
      <c r="D193">
        <v>103</v>
      </c>
      <c r="E193" t="s">
        <v>19</v>
      </c>
      <c r="F193">
        <v>396</v>
      </c>
      <c r="G193">
        <v>0</v>
      </c>
      <c r="H193">
        <v>34917006</v>
      </c>
      <c r="I193" t="s">
        <v>20</v>
      </c>
      <c r="J193">
        <v>0</v>
      </c>
      <c r="K193" t="s">
        <v>96</v>
      </c>
      <c r="L193" t="s">
        <v>96</v>
      </c>
      <c r="M193" t="s">
        <v>20</v>
      </c>
      <c r="N193" t="s">
        <v>23</v>
      </c>
      <c r="O193" t="s">
        <v>24</v>
      </c>
      <c r="P193" t="s">
        <v>25</v>
      </c>
      <c r="Q193" t="s">
        <v>146</v>
      </c>
    </row>
    <row r="194" spans="1:17" x14ac:dyDescent="0.3">
      <c r="A194" t="s">
        <v>244</v>
      </c>
      <c r="B194" t="s">
        <v>18</v>
      </c>
      <c r="C194">
        <v>0.32288401253918497</v>
      </c>
      <c r="D194">
        <v>103</v>
      </c>
      <c r="E194" t="s">
        <v>19</v>
      </c>
      <c r="F194">
        <v>396</v>
      </c>
      <c r="G194">
        <v>0</v>
      </c>
      <c r="H194">
        <v>34917006</v>
      </c>
      <c r="I194" t="s">
        <v>20</v>
      </c>
      <c r="J194">
        <v>0</v>
      </c>
      <c r="K194" t="s">
        <v>96</v>
      </c>
      <c r="L194" t="s">
        <v>96</v>
      </c>
      <c r="M194" t="s">
        <v>20</v>
      </c>
      <c r="N194" t="s">
        <v>23</v>
      </c>
      <c r="O194" t="s">
        <v>24</v>
      </c>
      <c r="P194" t="s">
        <v>25</v>
      </c>
      <c r="Q194" t="s">
        <v>146</v>
      </c>
    </row>
    <row r="195" spans="1:17" x14ac:dyDescent="0.3">
      <c r="A195" t="s">
        <v>245</v>
      </c>
      <c r="B195" t="s">
        <v>18</v>
      </c>
      <c r="C195">
        <v>0</v>
      </c>
      <c r="D195">
        <v>0</v>
      </c>
      <c r="E195" t="s">
        <v>19</v>
      </c>
      <c r="F195">
        <v>5</v>
      </c>
      <c r="G195">
        <v>0.90243902439024304</v>
      </c>
      <c r="H195">
        <v>44795713</v>
      </c>
      <c r="I195" t="s">
        <v>20</v>
      </c>
      <c r="J195">
        <v>0</v>
      </c>
      <c r="K195" t="s">
        <v>93</v>
      </c>
      <c r="L195" t="s">
        <v>22</v>
      </c>
      <c r="M195" t="s">
        <v>20</v>
      </c>
      <c r="N195" t="s">
        <v>23</v>
      </c>
      <c r="O195" t="s">
        <v>24</v>
      </c>
      <c r="P195" t="s">
        <v>25</v>
      </c>
      <c r="Q195" t="s">
        <v>94</v>
      </c>
    </row>
    <row r="196" spans="1:17" x14ac:dyDescent="0.3">
      <c r="A196" t="s">
        <v>246</v>
      </c>
      <c r="B196" t="s">
        <v>18</v>
      </c>
      <c r="C196">
        <v>0</v>
      </c>
      <c r="D196">
        <v>0</v>
      </c>
      <c r="E196" t="s">
        <v>19</v>
      </c>
      <c r="F196">
        <v>5</v>
      </c>
      <c r="G196">
        <v>0.86046511627906896</v>
      </c>
      <c r="H196">
        <v>44795713</v>
      </c>
      <c r="I196" t="s">
        <v>20</v>
      </c>
      <c r="J196">
        <v>0</v>
      </c>
      <c r="K196" t="s">
        <v>93</v>
      </c>
      <c r="L196" t="s">
        <v>22</v>
      </c>
      <c r="M196" t="s">
        <v>20</v>
      </c>
      <c r="N196" t="s">
        <v>23</v>
      </c>
      <c r="O196" t="s">
        <v>24</v>
      </c>
      <c r="P196" t="s">
        <v>25</v>
      </c>
      <c r="Q196" t="s">
        <v>94</v>
      </c>
    </row>
    <row r="197" spans="1:17" x14ac:dyDescent="0.3">
      <c r="A197" t="s">
        <v>247</v>
      </c>
      <c r="B197" t="s">
        <v>18</v>
      </c>
      <c r="C197">
        <v>0</v>
      </c>
      <c r="D197">
        <v>0</v>
      </c>
      <c r="E197" t="s">
        <v>19</v>
      </c>
      <c r="F197">
        <v>249</v>
      </c>
      <c r="G197">
        <v>0.88888888888888795</v>
      </c>
      <c r="H197">
        <v>38375955</v>
      </c>
      <c r="I197" t="s">
        <v>20</v>
      </c>
      <c r="J197">
        <v>0</v>
      </c>
      <c r="K197" t="s">
        <v>160</v>
      </c>
      <c r="L197" t="s">
        <v>22</v>
      </c>
      <c r="M197" t="s">
        <v>20</v>
      </c>
      <c r="N197" t="s">
        <v>23</v>
      </c>
      <c r="O197" t="s">
        <v>24</v>
      </c>
      <c r="P197" t="s">
        <v>25</v>
      </c>
      <c r="Q197" t="s">
        <v>161</v>
      </c>
    </row>
    <row r="198" spans="1:17" x14ac:dyDescent="0.3">
      <c r="A198" t="s">
        <v>248</v>
      </c>
      <c r="B198" t="s">
        <v>18</v>
      </c>
      <c r="C198">
        <v>0.14677700348431999</v>
      </c>
      <c r="D198">
        <v>337</v>
      </c>
      <c r="E198" t="s">
        <v>19</v>
      </c>
      <c r="F198">
        <v>2343</v>
      </c>
      <c r="G198">
        <v>0.78846153846153799</v>
      </c>
      <c r="H198">
        <v>8200826</v>
      </c>
      <c r="I198" t="s">
        <v>20</v>
      </c>
      <c r="J198">
        <v>922514082</v>
      </c>
      <c r="K198" t="s">
        <v>21</v>
      </c>
      <c r="L198" t="s">
        <v>22</v>
      </c>
      <c r="M198" t="s">
        <v>20</v>
      </c>
      <c r="N198" t="s">
        <v>23</v>
      </c>
      <c r="O198" t="s">
        <v>24</v>
      </c>
      <c r="P198" t="s">
        <v>25</v>
      </c>
      <c r="Q198" t="s">
        <v>26</v>
      </c>
    </row>
    <row r="199" spans="1:17" x14ac:dyDescent="0.3">
      <c r="A199" t="s">
        <v>249</v>
      </c>
      <c r="B199" t="s">
        <v>18</v>
      </c>
      <c r="C199">
        <v>0</v>
      </c>
      <c r="D199">
        <v>0</v>
      </c>
      <c r="E199" t="s">
        <v>19</v>
      </c>
      <c r="F199">
        <v>16</v>
      </c>
      <c r="G199">
        <v>0.94059405940593999</v>
      </c>
      <c r="H199">
        <v>44464690</v>
      </c>
      <c r="I199" t="s">
        <v>20</v>
      </c>
      <c r="J199">
        <v>1332325685</v>
      </c>
      <c r="K199" t="s">
        <v>65</v>
      </c>
      <c r="L199" t="s">
        <v>22</v>
      </c>
      <c r="M199" t="s">
        <v>20</v>
      </c>
      <c r="N199" t="s">
        <v>23</v>
      </c>
      <c r="O199" t="s">
        <v>24</v>
      </c>
      <c r="P199" t="s">
        <v>25</v>
      </c>
      <c r="Q199" t="s">
        <v>66</v>
      </c>
    </row>
    <row r="200" spans="1:17" x14ac:dyDescent="0.3">
      <c r="A200" t="s">
        <v>250</v>
      </c>
      <c r="B200" t="s">
        <v>18</v>
      </c>
      <c r="C200">
        <v>0</v>
      </c>
      <c r="D200">
        <v>0</v>
      </c>
      <c r="E200" t="s">
        <v>19</v>
      </c>
      <c r="F200">
        <v>16</v>
      </c>
      <c r="G200">
        <v>0.93596059113300401</v>
      </c>
      <c r="H200">
        <v>44464690</v>
      </c>
      <c r="I200" t="s">
        <v>20</v>
      </c>
      <c r="J200">
        <v>1332325685</v>
      </c>
      <c r="K200" t="s">
        <v>65</v>
      </c>
      <c r="L200" t="s">
        <v>22</v>
      </c>
      <c r="M200" t="s">
        <v>20</v>
      </c>
      <c r="N200" t="s">
        <v>23</v>
      </c>
      <c r="O200" t="s">
        <v>24</v>
      </c>
      <c r="P200" t="s">
        <v>25</v>
      </c>
      <c r="Q200" t="s">
        <v>66</v>
      </c>
    </row>
    <row r="201" spans="1:17" x14ac:dyDescent="0.3">
      <c r="A201" t="s">
        <v>251</v>
      </c>
      <c r="B201" t="s">
        <v>18</v>
      </c>
      <c r="C201">
        <v>0</v>
      </c>
      <c r="D201">
        <v>0</v>
      </c>
      <c r="E201" t="s">
        <v>19</v>
      </c>
      <c r="F201">
        <v>16</v>
      </c>
      <c r="G201">
        <v>0.93137254901960698</v>
      </c>
      <c r="H201">
        <v>44464690</v>
      </c>
      <c r="I201" t="s">
        <v>20</v>
      </c>
      <c r="J201">
        <v>1332325685</v>
      </c>
      <c r="K201" t="s">
        <v>65</v>
      </c>
      <c r="L201" t="s">
        <v>22</v>
      </c>
      <c r="M201" t="s">
        <v>20</v>
      </c>
      <c r="N201" t="s">
        <v>23</v>
      </c>
      <c r="O201" t="s">
        <v>24</v>
      </c>
      <c r="P201" t="s">
        <v>25</v>
      </c>
      <c r="Q201" t="s">
        <v>66</v>
      </c>
    </row>
    <row r="202" spans="1:17" x14ac:dyDescent="0.3">
      <c r="A202" t="s">
        <v>252</v>
      </c>
      <c r="B202" t="s">
        <v>18</v>
      </c>
      <c r="C202">
        <v>0.14513350559862101</v>
      </c>
      <c r="D202">
        <v>337</v>
      </c>
      <c r="E202" t="s">
        <v>19</v>
      </c>
      <c r="F202">
        <v>2347</v>
      </c>
      <c r="G202">
        <v>0.63636363636363602</v>
      </c>
      <c r="H202">
        <v>8200826</v>
      </c>
      <c r="I202" t="s">
        <v>20</v>
      </c>
      <c r="J202">
        <v>922514082</v>
      </c>
      <c r="K202" t="s">
        <v>21</v>
      </c>
      <c r="L202" t="s">
        <v>22</v>
      </c>
      <c r="M202" t="s">
        <v>20</v>
      </c>
      <c r="N202" t="s">
        <v>23</v>
      </c>
      <c r="O202" t="s">
        <v>24</v>
      </c>
      <c r="P202" t="s">
        <v>25</v>
      </c>
      <c r="Q202" t="s">
        <v>26</v>
      </c>
    </row>
  </sheetData>
  <autoFilter ref="A1:Q202" xr:uid="{00000000-0001-0000-0000-000000000000}"/>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08AB9-87FD-47EC-B9F4-40BADCC03E47}">
  <dimension ref="A1:T16"/>
  <sheetViews>
    <sheetView topLeftCell="J1" workbookViewId="0">
      <selection activeCell="D28" sqref="D28"/>
    </sheetView>
  </sheetViews>
  <sheetFormatPr defaultRowHeight="14.4" x14ac:dyDescent="0.3"/>
  <cols>
    <col min="1" max="1" width="9" bestFit="1" customWidth="1"/>
    <col min="2" max="2" width="18" bestFit="1" customWidth="1"/>
    <col min="3" max="3" width="13" customWidth="1"/>
    <col min="4" max="4" width="22.6640625" customWidth="1"/>
    <col min="5" max="5" width="9.21875" bestFit="1" customWidth="1"/>
    <col min="6" max="6" width="9.44140625" bestFit="1" customWidth="1"/>
    <col min="7" max="7" width="7" bestFit="1" customWidth="1"/>
    <col min="8" max="8" width="15.5546875" bestFit="1" customWidth="1"/>
    <col min="9" max="9" width="14" bestFit="1" customWidth="1"/>
    <col min="10" max="10" width="16.33203125" bestFit="1" customWidth="1"/>
    <col min="11" max="11" width="16.77734375" bestFit="1" customWidth="1"/>
    <col min="12" max="12" width="19.33203125" bestFit="1" customWidth="1"/>
    <col min="13" max="13" width="28" bestFit="1" customWidth="1"/>
    <col min="14" max="14" width="19.109375" bestFit="1" customWidth="1"/>
    <col min="15" max="15" width="21.5546875" bestFit="1" customWidth="1"/>
    <col min="16" max="16" width="6.77734375" bestFit="1" customWidth="1"/>
    <col min="17" max="17" width="9.6640625" bestFit="1" customWidth="1"/>
    <col min="18" max="18" width="21" bestFit="1" customWidth="1"/>
    <col min="19" max="19" width="23.33203125" bestFit="1" customWidth="1"/>
    <col min="20" max="20" width="18" bestFit="1" customWidth="1"/>
  </cols>
  <sheetData>
    <row r="1" spans="1:20" x14ac:dyDescent="0.3">
      <c r="A1" t="s">
        <v>254</v>
      </c>
      <c r="B1" t="s">
        <v>255</v>
      </c>
      <c r="C1" t="s">
        <v>256</v>
      </c>
      <c r="D1" t="s">
        <v>257</v>
      </c>
      <c r="E1" t="s">
        <v>258</v>
      </c>
      <c r="F1" t="s">
        <v>259</v>
      </c>
      <c r="G1" t="s">
        <v>260</v>
      </c>
      <c r="H1" t="s">
        <v>261</v>
      </c>
      <c r="I1" t="s">
        <v>262</v>
      </c>
      <c r="J1" t="s">
        <v>263</v>
      </c>
      <c r="K1" t="s">
        <v>264</v>
      </c>
      <c r="L1" t="s">
        <v>265</v>
      </c>
      <c r="M1" t="s">
        <v>266</v>
      </c>
      <c r="N1" t="s">
        <v>267</v>
      </c>
      <c r="O1" t="s">
        <v>268</v>
      </c>
      <c r="P1" t="s">
        <v>269</v>
      </c>
      <c r="Q1" t="s">
        <v>270</v>
      </c>
      <c r="R1" t="s">
        <v>271</v>
      </c>
      <c r="S1" t="s">
        <v>272</v>
      </c>
      <c r="T1" t="s">
        <v>273</v>
      </c>
    </row>
    <row r="2" spans="1:20" x14ac:dyDescent="0.3">
      <c r="A2">
        <v>8200826</v>
      </c>
      <c r="B2" s="2" t="s">
        <v>26</v>
      </c>
      <c r="C2" t="s">
        <v>274</v>
      </c>
      <c r="D2" t="s">
        <v>275</v>
      </c>
      <c r="E2" t="s">
        <v>276</v>
      </c>
      <c r="F2" t="s">
        <v>277</v>
      </c>
      <c r="G2">
        <v>101001</v>
      </c>
      <c r="H2">
        <v>100000</v>
      </c>
      <c r="I2">
        <v>4252</v>
      </c>
      <c r="J2">
        <v>832</v>
      </c>
      <c r="K2">
        <v>2351</v>
      </c>
      <c r="L2" s="2" t="s">
        <v>278</v>
      </c>
      <c r="M2" s="2" t="s">
        <v>279</v>
      </c>
      <c r="N2" s="2" t="s">
        <v>280</v>
      </c>
      <c r="O2" s="2" t="s">
        <v>281</v>
      </c>
      <c r="P2" t="s">
        <v>282</v>
      </c>
      <c r="Q2" t="s">
        <v>283</v>
      </c>
      <c r="R2">
        <v>0.19567262464722485</v>
      </c>
      <c r="S2" t="s">
        <v>22</v>
      </c>
      <c r="T2" s="2" t="s">
        <v>22</v>
      </c>
    </row>
    <row r="3" spans="1:20" x14ac:dyDescent="0.3">
      <c r="A3">
        <v>44465314</v>
      </c>
      <c r="B3" s="2" t="s">
        <v>33</v>
      </c>
      <c r="C3" t="s">
        <v>284</v>
      </c>
      <c r="D3" t="s">
        <v>285</v>
      </c>
      <c r="E3" t="s">
        <v>22</v>
      </c>
      <c r="F3" t="s">
        <v>22</v>
      </c>
      <c r="G3">
        <v>101001</v>
      </c>
      <c r="H3">
        <v>100000</v>
      </c>
      <c r="I3">
        <v>17</v>
      </c>
      <c r="J3">
        <v>0</v>
      </c>
      <c r="K3">
        <v>23</v>
      </c>
      <c r="L3" s="2" t="s">
        <v>286</v>
      </c>
      <c r="M3" s="2" t="s">
        <v>96</v>
      </c>
      <c r="N3" s="2" t="s">
        <v>287</v>
      </c>
      <c r="O3" s="2" t="s">
        <v>96</v>
      </c>
      <c r="P3" t="s">
        <v>288</v>
      </c>
      <c r="Q3" t="s">
        <v>283</v>
      </c>
      <c r="R3">
        <v>0</v>
      </c>
      <c r="S3" t="s">
        <v>22</v>
      </c>
      <c r="T3" s="2" t="s">
        <v>22</v>
      </c>
    </row>
    <row r="4" spans="1:20" x14ac:dyDescent="0.3">
      <c r="A4">
        <v>45055754</v>
      </c>
      <c r="B4" s="2" t="s">
        <v>42</v>
      </c>
      <c r="C4" t="s">
        <v>289</v>
      </c>
      <c r="D4" t="s">
        <v>96</v>
      </c>
      <c r="E4" t="s">
        <v>22</v>
      </c>
      <c r="F4" t="s">
        <v>22</v>
      </c>
      <c r="G4">
        <v>101002</v>
      </c>
      <c r="H4">
        <v>100000</v>
      </c>
      <c r="I4">
        <v>34</v>
      </c>
      <c r="J4">
        <v>1</v>
      </c>
      <c r="K4">
        <v>2</v>
      </c>
      <c r="L4" s="2" t="s">
        <v>290</v>
      </c>
      <c r="M4" s="2" t="s">
        <v>291</v>
      </c>
      <c r="N4" s="2" t="s">
        <v>292</v>
      </c>
      <c r="O4" s="2" t="s">
        <v>293</v>
      </c>
      <c r="P4" t="s">
        <v>288</v>
      </c>
      <c r="Q4" t="s">
        <v>283</v>
      </c>
      <c r="R4">
        <v>2.9411764705882353E-2</v>
      </c>
      <c r="S4" t="s">
        <v>22</v>
      </c>
      <c r="T4" s="2" t="s">
        <v>22</v>
      </c>
    </row>
    <row r="5" spans="1:20" x14ac:dyDescent="0.3">
      <c r="A5">
        <v>45042918</v>
      </c>
      <c r="B5" s="2" t="s">
        <v>59</v>
      </c>
      <c r="C5" t="s">
        <v>294</v>
      </c>
      <c r="D5" t="s">
        <v>96</v>
      </c>
      <c r="E5" t="s">
        <v>22</v>
      </c>
      <c r="F5" t="s">
        <v>22</v>
      </c>
      <c r="G5">
        <v>101005</v>
      </c>
      <c r="H5">
        <v>100000</v>
      </c>
      <c r="I5">
        <v>27</v>
      </c>
      <c r="J5">
        <v>0</v>
      </c>
      <c r="K5">
        <v>2</v>
      </c>
      <c r="L5" s="2" t="s">
        <v>295</v>
      </c>
      <c r="M5" s="2" t="s">
        <v>96</v>
      </c>
      <c r="N5" s="2" t="s">
        <v>296</v>
      </c>
      <c r="O5" s="2" t="s">
        <v>96</v>
      </c>
      <c r="P5" t="s">
        <v>288</v>
      </c>
      <c r="Q5" t="s">
        <v>297</v>
      </c>
      <c r="R5">
        <v>0</v>
      </c>
      <c r="S5" t="s">
        <v>367</v>
      </c>
      <c r="T5" s="2">
        <v>46301.466782407406</v>
      </c>
    </row>
    <row r="6" spans="1:20" x14ac:dyDescent="0.3">
      <c r="A6">
        <v>44986521</v>
      </c>
      <c r="B6" s="2" t="s">
        <v>62</v>
      </c>
      <c r="C6" t="s">
        <v>298</v>
      </c>
      <c r="D6" t="s">
        <v>96</v>
      </c>
      <c r="E6" t="s">
        <v>22</v>
      </c>
      <c r="F6" t="s">
        <v>22</v>
      </c>
      <c r="G6">
        <v>101002</v>
      </c>
      <c r="H6">
        <v>100000</v>
      </c>
      <c r="I6">
        <v>199</v>
      </c>
      <c r="J6">
        <v>2</v>
      </c>
      <c r="K6">
        <v>4</v>
      </c>
      <c r="L6" s="2" t="s">
        <v>299</v>
      </c>
      <c r="M6" s="2" t="s">
        <v>300</v>
      </c>
      <c r="N6" s="2" t="s">
        <v>301</v>
      </c>
      <c r="O6" s="2" t="s">
        <v>302</v>
      </c>
      <c r="P6" t="s">
        <v>288</v>
      </c>
      <c r="Q6" t="s">
        <v>297</v>
      </c>
      <c r="R6">
        <v>1.0050251256281407E-2</v>
      </c>
      <c r="S6" t="s">
        <v>303</v>
      </c>
      <c r="T6" s="2" t="s">
        <v>304</v>
      </c>
    </row>
    <row r="7" spans="1:20" x14ac:dyDescent="0.3">
      <c r="A7">
        <v>44464690</v>
      </c>
      <c r="B7" s="2" t="s">
        <v>66</v>
      </c>
      <c r="C7" t="s">
        <v>305</v>
      </c>
      <c r="D7" t="s">
        <v>96</v>
      </c>
      <c r="E7" t="s">
        <v>22</v>
      </c>
      <c r="F7" t="s">
        <v>306</v>
      </c>
      <c r="G7">
        <v>101001</v>
      </c>
      <c r="H7">
        <v>100000</v>
      </c>
      <c r="I7">
        <v>411</v>
      </c>
      <c r="J7">
        <v>0</v>
      </c>
      <c r="K7">
        <v>23</v>
      </c>
      <c r="L7" s="2" t="s">
        <v>307</v>
      </c>
      <c r="M7" s="2" t="s">
        <v>96</v>
      </c>
      <c r="N7" s="2" t="s">
        <v>308</v>
      </c>
      <c r="O7" s="2" t="s">
        <v>96</v>
      </c>
      <c r="P7" t="s">
        <v>282</v>
      </c>
      <c r="Q7" t="s">
        <v>297</v>
      </c>
      <c r="R7">
        <v>0</v>
      </c>
      <c r="S7" t="s">
        <v>309</v>
      </c>
      <c r="T7" s="2" t="s">
        <v>310</v>
      </c>
    </row>
    <row r="8" spans="1:20" x14ac:dyDescent="0.3">
      <c r="A8">
        <v>44795713</v>
      </c>
      <c r="B8" s="2" t="s">
        <v>94</v>
      </c>
      <c r="C8" t="s">
        <v>311</v>
      </c>
      <c r="D8" t="s">
        <v>96</v>
      </c>
      <c r="E8" t="s">
        <v>22</v>
      </c>
      <c r="F8" t="s">
        <v>22</v>
      </c>
      <c r="G8">
        <v>101001</v>
      </c>
      <c r="H8">
        <v>100000</v>
      </c>
      <c r="I8">
        <v>58</v>
      </c>
      <c r="J8">
        <v>0</v>
      </c>
      <c r="K8">
        <v>11</v>
      </c>
      <c r="L8" s="2" t="s">
        <v>312</v>
      </c>
      <c r="M8" s="2" t="s">
        <v>96</v>
      </c>
      <c r="N8" s="2" t="s">
        <v>313</v>
      </c>
      <c r="O8" s="2" t="s">
        <v>96</v>
      </c>
      <c r="P8" t="s">
        <v>288</v>
      </c>
      <c r="Q8" t="s">
        <v>297</v>
      </c>
      <c r="R8">
        <v>0</v>
      </c>
      <c r="S8" t="s">
        <v>314</v>
      </c>
      <c r="T8" s="2" t="s">
        <v>315</v>
      </c>
    </row>
    <row r="9" spans="1:20" x14ac:dyDescent="0.3">
      <c r="A9">
        <v>28625427</v>
      </c>
      <c r="B9" s="2" t="s">
        <v>97</v>
      </c>
      <c r="C9" t="s">
        <v>316</v>
      </c>
      <c r="D9" t="s">
        <v>317</v>
      </c>
      <c r="E9" t="s">
        <v>318</v>
      </c>
      <c r="F9" t="s">
        <v>319</v>
      </c>
      <c r="G9">
        <v>101002</v>
      </c>
      <c r="H9">
        <v>100000</v>
      </c>
      <c r="I9">
        <v>1210</v>
      </c>
      <c r="J9">
        <v>314</v>
      </c>
      <c r="K9">
        <v>696</v>
      </c>
      <c r="L9" s="2" t="s">
        <v>320</v>
      </c>
      <c r="M9" s="2" t="s">
        <v>321</v>
      </c>
      <c r="N9" s="2" t="s">
        <v>322</v>
      </c>
      <c r="O9" s="2" t="s">
        <v>323</v>
      </c>
      <c r="P9" t="s">
        <v>282</v>
      </c>
      <c r="Q9" t="s">
        <v>283</v>
      </c>
      <c r="R9">
        <v>0.25950413223140495</v>
      </c>
      <c r="S9" t="s">
        <v>22</v>
      </c>
      <c r="T9" s="2" t="s">
        <v>22</v>
      </c>
    </row>
    <row r="10" spans="1:20" x14ac:dyDescent="0.3">
      <c r="A10">
        <v>44643928</v>
      </c>
      <c r="B10" s="2" t="s">
        <v>117</v>
      </c>
      <c r="C10" t="s">
        <v>324</v>
      </c>
      <c r="D10" t="s">
        <v>96</v>
      </c>
      <c r="E10" t="s">
        <v>22</v>
      </c>
      <c r="F10" t="s">
        <v>22</v>
      </c>
      <c r="G10">
        <v>101002</v>
      </c>
      <c r="H10">
        <v>100000</v>
      </c>
      <c r="I10">
        <v>45</v>
      </c>
      <c r="J10">
        <v>4</v>
      </c>
      <c r="K10">
        <v>17</v>
      </c>
      <c r="L10" s="2" t="s">
        <v>325</v>
      </c>
      <c r="M10" s="2" t="s">
        <v>326</v>
      </c>
      <c r="N10" s="2" t="s">
        <v>327</v>
      </c>
      <c r="O10" s="2" t="s">
        <v>328</v>
      </c>
      <c r="P10" t="s">
        <v>288</v>
      </c>
      <c r="Q10" t="s">
        <v>283</v>
      </c>
      <c r="R10">
        <v>8.8888888888888892E-2</v>
      </c>
      <c r="S10" t="s">
        <v>22</v>
      </c>
      <c r="T10" s="2" t="s">
        <v>22</v>
      </c>
    </row>
    <row r="11" spans="1:20" x14ac:dyDescent="0.3">
      <c r="A11">
        <v>44003760</v>
      </c>
      <c r="B11" s="2" t="s">
        <v>121</v>
      </c>
      <c r="C11" t="s">
        <v>329</v>
      </c>
      <c r="D11" t="s">
        <v>330</v>
      </c>
      <c r="E11" t="s">
        <v>331</v>
      </c>
      <c r="F11" t="s">
        <v>332</v>
      </c>
      <c r="G11">
        <v>101001</v>
      </c>
      <c r="H11">
        <v>100000</v>
      </c>
      <c r="I11">
        <v>28</v>
      </c>
      <c r="J11">
        <v>4</v>
      </c>
      <c r="K11">
        <v>40</v>
      </c>
      <c r="L11" s="2" t="s">
        <v>333</v>
      </c>
      <c r="M11" s="2" t="s">
        <v>334</v>
      </c>
      <c r="N11" s="2" t="s">
        <v>335</v>
      </c>
      <c r="O11" s="2" t="s">
        <v>336</v>
      </c>
      <c r="P11" t="s">
        <v>288</v>
      </c>
      <c r="Q11" t="s">
        <v>283</v>
      </c>
      <c r="R11">
        <v>0.14285714285714285</v>
      </c>
      <c r="S11" t="s">
        <v>22</v>
      </c>
      <c r="T11" s="2" t="s">
        <v>22</v>
      </c>
    </row>
    <row r="12" spans="1:20" x14ac:dyDescent="0.3">
      <c r="A12">
        <v>34917006</v>
      </c>
      <c r="B12" s="2" t="s">
        <v>146</v>
      </c>
      <c r="C12" t="s">
        <v>337</v>
      </c>
      <c r="D12" t="s">
        <v>338</v>
      </c>
      <c r="E12" t="s">
        <v>339</v>
      </c>
      <c r="F12" t="s">
        <v>340</v>
      </c>
      <c r="G12">
        <v>101001</v>
      </c>
      <c r="H12">
        <v>100000</v>
      </c>
      <c r="I12">
        <v>324</v>
      </c>
      <c r="J12">
        <v>105</v>
      </c>
      <c r="K12">
        <v>404</v>
      </c>
      <c r="L12" s="2" t="s">
        <v>341</v>
      </c>
      <c r="M12" s="2" t="s">
        <v>342</v>
      </c>
      <c r="N12" s="2" t="s">
        <v>343</v>
      </c>
      <c r="O12" s="2" t="s">
        <v>344</v>
      </c>
      <c r="P12" t="s">
        <v>288</v>
      </c>
      <c r="Q12" t="s">
        <v>283</v>
      </c>
      <c r="R12">
        <v>0.32407407407407407</v>
      </c>
      <c r="S12" t="s">
        <v>22</v>
      </c>
      <c r="T12" s="2" t="s">
        <v>22</v>
      </c>
    </row>
    <row r="13" spans="1:20" x14ac:dyDescent="0.3">
      <c r="A13">
        <v>37669736</v>
      </c>
      <c r="B13" s="2" t="s">
        <v>152</v>
      </c>
      <c r="C13" t="s">
        <v>345</v>
      </c>
      <c r="D13" t="s">
        <v>96</v>
      </c>
      <c r="E13" t="s">
        <v>22</v>
      </c>
      <c r="F13" t="s">
        <v>22</v>
      </c>
      <c r="G13">
        <v>101001</v>
      </c>
      <c r="H13">
        <v>100000</v>
      </c>
      <c r="I13">
        <v>21</v>
      </c>
      <c r="J13">
        <v>2</v>
      </c>
      <c r="K13">
        <v>284</v>
      </c>
      <c r="L13" s="2" t="s">
        <v>346</v>
      </c>
      <c r="M13" s="2" t="s">
        <v>347</v>
      </c>
      <c r="N13" s="2" t="s">
        <v>348</v>
      </c>
      <c r="O13" s="2" t="s">
        <v>349</v>
      </c>
      <c r="P13" t="s">
        <v>288</v>
      </c>
      <c r="Q13" t="s">
        <v>283</v>
      </c>
      <c r="R13">
        <v>9.5238095238095233E-2</v>
      </c>
      <c r="S13" t="s">
        <v>22</v>
      </c>
      <c r="T13" s="2" t="s">
        <v>22</v>
      </c>
    </row>
    <row r="14" spans="1:20" x14ac:dyDescent="0.3">
      <c r="A14">
        <v>38375955</v>
      </c>
      <c r="B14" s="2" t="s">
        <v>161</v>
      </c>
      <c r="C14" t="s">
        <v>350</v>
      </c>
      <c r="D14" t="s">
        <v>351</v>
      </c>
      <c r="E14" t="s">
        <v>22</v>
      </c>
      <c r="F14" t="s">
        <v>22</v>
      </c>
      <c r="G14">
        <v>101001</v>
      </c>
      <c r="H14">
        <v>100000</v>
      </c>
      <c r="I14">
        <v>19</v>
      </c>
      <c r="J14">
        <v>0</v>
      </c>
      <c r="K14">
        <v>255</v>
      </c>
      <c r="L14" s="2" t="s">
        <v>352</v>
      </c>
      <c r="M14" s="2" t="s">
        <v>96</v>
      </c>
      <c r="N14" s="2" t="s">
        <v>353</v>
      </c>
      <c r="O14" s="2" t="s">
        <v>96</v>
      </c>
      <c r="P14" t="s">
        <v>288</v>
      </c>
      <c r="Q14" t="s">
        <v>283</v>
      </c>
      <c r="R14">
        <v>0</v>
      </c>
      <c r="S14" t="s">
        <v>22</v>
      </c>
      <c r="T14" s="2" t="s">
        <v>22</v>
      </c>
    </row>
    <row r="15" spans="1:20" x14ac:dyDescent="0.3">
      <c r="A15">
        <v>40546651</v>
      </c>
      <c r="B15" s="2" t="s">
        <v>189</v>
      </c>
      <c r="C15" t="s">
        <v>354</v>
      </c>
      <c r="D15" t="s">
        <v>355</v>
      </c>
      <c r="E15" t="s">
        <v>356</v>
      </c>
      <c r="F15" t="s">
        <v>357</v>
      </c>
      <c r="G15">
        <v>101001</v>
      </c>
      <c r="H15">
        <v>100000</v>
      </c>
      <c r="I15">
        <v>51</v>
      </c>
      <c r="J15">
        <v>1</v>
      </c>
      <c r="K15">
        <v>169</v>
      </c>
      <c r="L15" s="2" t="s">
        <v>358</v>
      </c>
      <c r="M15" s="2" t="s">
        <v>359</v>
      </c>
      <c r="N15" s="2" t="s">
        <v>360</v>
      </c>
      <c r="O15" s="2" t="s">
        <v>361</v>
      </c>
      <c r="P15" t="s">
        <v>288</v>
      </c>
      <c r="Q15" t="s">
        <v>283</v>
      </c>
      <c r="R15">
        <v>1.9607843137254902E-2</v>
      </c>
      <c r="S15" t="s">
        <v>22</v>
      </c>
      <c r="T15" s="2" t="s">
        <v>22</v>
      </c>
    </row>
    <row r="16" spans="1:20" x14ac:dyDescent="0.3">
      <c r="A16">
        <v>40007087</v>
      </c>
      <c r="B16" s="2" t="s">
        <v>192</v>
      </c>
      <c r="C16" t="s">
        <v>362</v>
      </c>
      <c r="D16" t="s">
        <v>363</v>
      </c>
      <c r="E16" t="s">
        <v>22</v>
      </c>
      <c r="F16" t="s">
        <v>364</v>
      </c>
      <c r="G16">
        <v>101002</v>
      </c>
      <c r="H16">
        <v>100000</v>
      </c>
      <c r="I16">
        <v>2</v>
      </c>
      <c r="J16">
        <v>0</v>
      </c>
      <c r="K16">
        <v>191</v>
      </c>
      <c r="L16" s="2" t="s">
        <v>365</v>
      </c>
      <c r="M16" s="2" t="s">
        <v>96</v>
      </c>
      <c r="N16" s="2" t="s">
        <v>366</v>
      </c>
      <c r="O16" s="2" t="s">
        <v>96</v>
      </c>
      <c r="P16" t="s">
        <v>288</v>
      </c>
      <c r="Q16" t="s">
        <v>283</v>
      </c>
      <c r="R16">
        <v>0</v>
      </c>
      <c r="S16" t="s">
        <v>22</v>
      </c>
      <c r="T16" s="2" t="s">
        <v>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C4E4-D55E-442C-807A-E9BE0ADB2D6F}">
  <dimension ref="A1:P31"/>
  <sheetViews>
    <sheetView tabSelected="1" zoomScaleNormal="100" workbookViewId="0">
      <selection activeCell="B16" sqref="B16"/>
    </sheetView>
  </sheetViews>
  <sheetFormatPr defaultRowHeight="14.4" x14ac:dyDescent="0.3"/>
  <cols>
    <col min="1" max="1" width="13.88671875" bestFit="1" customWidth="1"/>
    <col min="2" max="2" width="9" bestFit="1" customWidth="1"/>
    <col min="3" max="3" width="18" bestFit="1" customWidth="1"/>
    <col min="4" max="4" width="8.44140625" bestFit="1" customWidth="1"/>
    <col min="5" max="5" width="5.6640625" bestFit="1" customWidth="1"/>
    <col min="6" max="6" width="13.33203125" bestFit="1" customWidth="1"/>
    <col min="7" max="7" width="23.33203125" bestFit="1" customWidth="1"/>
    <col min="8" max="8" width="18" bestFit="1" customWidth="1"/>
    <col min="9" max="9" width="15.44140625" bestFit="1" customWidth="1"/>
    <col min="10" max="10" width="20.44140625" bestFit="1" customWidth="1"/>
    <col min="12" max="12" width="5.21875" bestFit="1" customWidth="1"/>
    <col min="14" max="14" width="21" customWidth="1"/>
    <col min="15" max="15" width="16.109375" customWidth="1"/>
    <col min="16" max="16" width="9.5546875" bestFit="1" customWidth="1"/>
  </cols>
  <sheetData>
    <row r="1" spans="1:16" x14ac:dyDescent="0.3">
      <c r="A1" s="3" t="s">
        <v>368</v>
      </c>
      <c r="B1" s="4" t="s">
        <v>369</v>
      </c>
      <c r="C1" s="5" t="s">
        <v>370</v>
      </c>
      <c r="D1" s="4" t="s">
        <v>371</v>
      </c>
      <c r="E1" s="6" t="s">
        <v>372</v>
      </c>
      <c r="F1" s="7" t="s">
        <v>373</v>
      </c>
      <c r="G1" s="4" t="s">
        <v>374</v>
      </c>
      <c r="H1" s="6" t="s">
        <v>375</v>
      </c>
      <c r="I1" s="8" t="s">
        <v>376</v>
      </c>
      <c r="J1" s="8" t="s">
        <v>377</v>
      </c>
      <c r="K1" s="8" t="s">
        <v>378</v>
      </c>
    </row>
    <row r="2" spans="1:16" x14ac:dyDescent="0.3">
      <c r="A2" s="9" t="str">
        <f>HYPERLINK("https://sg-athena.lalamove.work/users/"&amp;B2&amp;"/overview?city_id=100000","User Athena")</f>
        <v>User Athena</v>
      </c>
      <c r="B2">
        <v>8200826</v>
      </c>
      <c r="C2" s="2" t="s">
        <v>26</v>
      </c>
      <c r="D2" t="s">
        <v>283</v>
      </c>
      <c r="E2" t="s">
        <v>282</v>
      </c>
      <c r="F2">
        <f>COUNTIF('Results export'!$H$2:$H$202,reporting!B2)</f>
        <v>23</v>
      </c>
      <c r="G2" t="s">
        <v>22</v>
      </c>
      <c r="H2" s="2" t="s">
        <v>22</v>
      </c>
      <c r="I2">
        <f ca="1">ROUNDUP(TODAY()-C2,0)</f>
        <v>2352</v>
      </c>
      <c r="J2" s="10">
        <v>0.19567262464722485</v>
      </c>
      <c r="K2" t="s">
        <v>380</v>
      </c>
      <c r="N2" t="s">
        <v>379</v>
      </c>
      <c r="O2">
        <f>COUNTIF($K$2:$K$16,N2)</f>
        <v>12</v>
      </c>
    </row>
    <row r="3" spans="1:16" x14ac:dyDescent="0.3">
      <c r="A3" s="9" t="str">
        <f t="shared" ref="A3:A16" si="0">HYPERLINK("https://sg-athena.lalamove.work/users/"&amp;B3&amp;"/overview?city_id=100000","User Athena")</f>
        <v>User Athena</v>
      </c>
      <c r="B3">
        <v>44465314</v>
      </c>
      <c r="C3" s="2" t="s">
        <v>33</v>
      </c>
      <c r="D3" t="s">
        <v>283</v>
      </c>
      <c r="E3" t="s">
        <v>288</v>
      </c>
      <c r="F3">
        <f>COUNTIF('Results export'!$H$2:$H$202,reporting!B3)</f>
        <v>1</v>
      </c>
      <c r="G3" t="s">
        <v>22</v>
      </c>
      <c r="H3" s="2" t="s">
        <v>22</v>
      </c>
      <c r="I3">
        <f t="shared" ref="I3:I16" ca="1" si="1">ROUNDUP(TODAY()-C3,0)</f>
        <v>24</v>
      </c>
      <c r="J3" s="10">
        <v>0</v>
      </c>
      <c r="K3" t="s">
        <v>379</v>
      </c>
      <c r="L3" t="s">
        <v>381</v>
      </c>
      <c r="N3" t="s">
        <v>380</v>
      </c>
      <c r="O3">
        <f>COUNTIF($K$2:$K$16,N3)</f>
        <v>3</v>
      </c>
    </row>
    <row r="4" spans="1:16" x14ac:dyDescent="0.3">
      <c r="A4" s="9" t="str">
        <f t="shared" si="0"/>
        <v>User Athena</v>
      </c>
      <c r="B4">
        <v>45055754</v>
      </c>
      <c r="C4" s="2" t="s">
        <v>42</v>
      </c>
      <c r="D4" t="s">
        <v>283</v>
      </c>
      <c r="E4" t="s">
        <v>288</v>
      </c>
      <c r="F4">
        <f>COUNTIF('Results export'!$H$2:$H$202,reporting!B4)</f>
        <v>14</v>
      </c>
      <c r="G4" t="s">
        <v>22</v>
      </c>
      <c r="H4" s="2" t="s">
        <v>22</v>
      </c>
      <c r="I4">
        <f t="shared" ca="1" si="1"/>
        <v>3</v>
      </c>
      <c r="J4" s="10">
        <v>2.9411764705882353E-2</v>
      </c>
      <c r="K4" t="s">
        <v>379</v>
      </c>
    </row>
    <row r="5" spans="1:16" x14ac:dyDescent="0.3">
      <c r="A5" s="9" t="str">
        <f t="shared" si="0"/>
        <v>User Athena</v>
      </c>
      <c r="B5">
        <v>45042918</v>
      </c>
      <c r="C5" s="2" t="s">
        <v>59</v>
      </c>
      <c r="D5" t="s">
        <v>297</v>
      </c>
      <c r="E5" t="s">
        <v>288</v>
      </c>
      <c r="F5">
        <f>COUNTIF('Results export'!$H$2:$H$202,reporting!B5)</f>
        <v>1</v>
      </c>
      <c r="G5" t="s">
        <v>367</v>
      </c>
      <c r="H5" s="2">
        <v>46301.466782407406</v>
      </c>
      <c r="I5">
        <f t="shared" ca="1" si="1"/>
        <v>3</v>
      </c>
      <c r="J5" s="10">
        <v>0</v>
      </c>
      <c r="K5" t="s">
        <v>379</v>
      </c>
      <c r="N5" t="s">
        <v>382</v>
      </c>
      <c r="O5" s="10">
        <f>O2/(O2+O3)</f>
        <v>0.8</v>
      </c>
    </row>
    <row r="6" spans="1:16" x14ac:dyDescent="0.3">
      <c r="A6" s="9" t="str">
        <f t="shared" si="0"/>
        <v>User Athena</v>
      </c>
      <c r="B6">
        <v>44986521</v>
      </c>
      <c r="C6" s="2" t="s">
        <v>62</v>
      </c>
      <c r="D6" t="s">
        <v>297</v>
      </c>
      <c r="E6" t="s">
        <v>288</v>
      </c>
      <c r="F6">
        <f>COUNTIF('Results export'!$H$2:$H$202,reporting!B6)</f>
        <v>93</v>
      </c>
      <c r="G6" t="s">
        <v>303</v>
      </c>
      <c r="H6" s="2" t="s">
        <v>304</v>
      </c>
      <c r="I6">
        <f t="shared" ca="1" si="1"/>
        <v>5</v>
      </c>
      <c r="J6" s="10">
        <v>1.0050251256281407E-2</v>
      </c>
      <c r="K6" t="s">
        <v>379</v>
      </c>
    </row>
    <row r="7" spans="1:16" x14ac:dyDescent="0.3">
      <c r="A7" s="9" t="str">
        <f t="shared" si="0"/>
        <v>User Athena</v>
      </c>
      <c r="B7">
        <v>44464690</v>
      </c>
      <c r="C7" s="2" t="s">
        <v>66</v>
      </c>
      <c r="D7" t="s">
        <v>297</v>
      </c>
      <c r="E7" t="s">
        <v>282</v>
      </c>
      <c r="F7">
        <f>COUNTIF('Results export'!$H$2:$H$202,reporting!B7)</f>
        <v>45</v>
      </c>
      <c r="G7" t="s">
        <v>309</v>
      </c>
      <c r="H7" s="2" t="s">
        <v>310</v>
      </c>
      <c r="I7">
        <f t="shared" ca="1" si="1"/>
        <v>24</v>
      </c>
      <c r="J7" s="10">
        <v>0</v>
      </c>
      <c r="K7" t="s">
        <v>379</v>
      </c>
    </row>
    <row r="8" spans="1:16" x14ac:dyDescent="0.3">
      <c r="A8" s="9" t="str">
        <f t="shared" si="0"/>
        <v>User Athena</v>
      </c>
      <c r="B8">
        <v>44795713</v>
      </c>
      <c r="C8" s="2" t="s">
        <v>94</v>
      </c>
      <c r="D8" t="s">
        <v>297</v>
      </c>
      <c r="E8" t="s">
        <v>288</v>
      </c>
      <c r="F8">
        <f>COUNTIF('Results export'!$H$2:$H$202,reporting!B8)</f>
        <v>9</v>
      </c>
      <c r="G8" t="s">
        <v>314</v>
      </c>
      <c r="H8" s="2" t="s">
        <v>315</v>
      </c>
      <c r="I8">
        <f t="shared" ca="1" si="1"/>
        <v>12</v>
      </c>
      <c r="J8" s="10">
        <v>0</v>
      </c>
      <c r="K8" t="s">
        <v>379</v>
      </c>
    </row>
    <row r="9" spans="1:16" x14ac:dyDescent="0.3">
      <c r="A9" s="9" t="str">
        <f t="shared" si="0"/>
        <v>User Athena</v>
      </c>
      <c r="B9">
        <v>28625427</v>
      </c>
      <c r="C9" s="2" t="s">
        <v>97</v>
      </c>
      <c r="D9" t="s">
        <v>283</v>
      </c>
      <c r="E9" t="s">
        <v>282</v>
      </c>
      <c r="F9">
        <f>COUNTIF('Results export'!$H$2:$H$202,reporting!B9)</f>
        <v>2</v>
      </c>
      <c r="G9" t="s">
        <v>22</v>
      </c>
      <c r="H9" s="2" t="s">
        <v>22</v>
      </c>
      <c r="I9">
        <f t="shared" ca="1" si="1"/>
        <v>697</v>
      </c>
      <c r="J9" s="10">
        <v>0.25950413223140495</v>
      </c>
      <c r="K9" t="s">
        <v>380</v>
      </c>
      <c r="N9" t="s">
        <v>385</v>
      </c>
      <c r="O9" s="11">
        <v>2.5336541115912031E-3</v>
      </c>
      <c r="P9" s="11"/>
    </row>
    <row r="10" spans="1:16" x14ac:dyDescent="0.3">
      <c r="A10" s="9" t="str">
        <f t="shared" si="0"/>
        <v>User Athena</v>
      </c>
      <c r="B10">
        <v>44643928</v>
      </c>
      <c r="C10" s="2" t="s">
        <v>117</v>
      </c>
      <c r="D10" t="s">
        <v>283</v>
      </c>
      <c r="E10" t="s">
        <v>288</v>
      </c>
      <c r="F10">
        <f>COUNTIF('Results export'!$H$2:$H$202,reporting!B10)</f>
        <v>2</v>
      </c>
      <c r="G10" t="s">
        <v>22</v>
      </c>
      <c r="H10" s="2" t="s">
        <v>22</v>
      </c>
      <c r="I10">
        <f t="shared" ca="1" si="1"/>
        <v>18</v>
      </c>
      <c r="J10" s="10">
        <v>8.8888888888888892E-2</v>
      </c>
      <c r="K10" t="s">
        <v>379</v>
      </c>
      <c r="N10" t="s">
        <v>386</v>
      </c>
      <c r="O10" s="11">
        <v>6.4233941728680972E-4</v>
      </c>
    </row>
    <row r="11" spans="1:16" x14ac:dyDescent="0.3">
      <c r="A11" s="9" t="str">
        <f t="shared" si="0"/>
        <v>User Athena</v>
      </c>
      <c r="B11">
        <v>44003760</v>
      </c>
      <c r="C11" s="2" t="s">
        <v>121</v>
      </c>
      <c r="D11" t="s">
        <v>283</v>
      </c>
      <c r="E11" t="s">
        <v>288</v>
      </c>
      <c r="F11">
        <f>COUNTIF('Results export'!$H$2:$H$202,reporting!B11)</f>
        <v>1</v>
      </c>
      <c r="G11" t="s">
        <v>22</v>
      </c>
      <c r="H11" s="2" t="s">
        <v>22</v>
      </c>
      <c r="I11">
        <f t="shared" ca="1" si="1"/>
        <v>41</v>
      </c>
      <c r="J11" s="10">
        <v>0.14285714285714285</v>
      </c>
      <c r="K11" t="s">
        <v>379</v>
      </c>
    </row>
    <row r="12" spans="1:16" x14ac:dyDescent="0.3">
      <c r="A12" s="9" t="str">
        <f t="shared" si="0"/>
        <v>User Athena</v>
      </c>
      <c r="B12">
        <v>34917006</v>
      </c>
      <c r="C12" s="2" t="s">
        <v>146</v>
      </c>
      <c r="D12" t="s">
        <v>283</v>
      </c>
      <c r="E12" t="s">
        <v>288</v>
      </c>
      <c r="F12">
        <f>COUNTIF('Results export'!$H$2:$H$202,reporting!B12)</f>
        <v>4</v>
      </c>
      <c r="G12" t="s">
        <v>22</v>
      </c>
      <c r="H12" s="2" t="s">
        <v>22</v>
      </c>
      <c r="I12">
        <f t="shared" ca="1" si="1"/>
        <v>405</v>
      </c>
      <c r="J12" s="10">
        <v>0.32407407407407407</v>
      </c>
      <c r="K12" t="s">
        <v>380</v>
      </c>
      <c r="N12" t="s">
        <v>383</v>
      </c>
      <c r="O12">
        <f>SUM(F2:F16)</f>
        <v>201</v>
      </c>
    </row>
    <row r="13" spans="1:16" x14ac:dyDescent="0.3">
      <c r="A13" s="9" t="str">
        <f t="shared" si="0"/>
        <v>User Athena</v>
      </c>
      <c r="B13">
        <v>37669736</v>
      </c>
      <c r="C13" s="2" t="s">
        <v>152</v>
      </c>
      <c r="D13" t="s">
        <v>283</v>
      </c>
      <c r="E13" t="s">
        <v>288</v>
      </c>
      <c r="F13">
        <f>COUNTIF('Results export'!$H$2:$H$202,reporting!B13)</f>
        <v>2</v>
      </c>
      <c r="G13" t="s">
        <v>22</v>
      </c>
      <c r="H13" s="2" t="s">
        <v>22</v>
      </c>
      <c r="I13">
        <f t="shared" ca="1" si="1"/>
        <v>285</v>
      </c>
      <c r="J13" s="10">
        <v>9.5238095238095233E-2</v>
      </c>
      <c r="K13" t="s">
        <v>379</v>
      </c>
      <c r="N13" t="s">
        <v>384</v>
      </c>
      <c r="O13">
        <f>COUNT(B2:B16)</f>
        <v>15</v>
      </c>
    </row>
    <row r="14" spans="1:16" x14ac:dyDescent="0.3">
      <c r="A14" s="9" t="str">
        <f t="shared" si="0"/>
        <v>User Athena</v>
      </c>
      <c r="B14">
        <v>38375955</v>
      </c>
      <c r="C14" s="2" t="s">
        <v>161</v>
      </c>
      <c r="D14" t="s">
        <v>283</v>
      </c>
      <c r="E14" t="s">
        <v>288</v>
      </c>
      <c r="F14">
        <f>COUNTIF('Results export'!$H$2:$H$202,reporting!B14)</f>
        <v>2</v>
      </c>
      <c r="G14" t="s">
        <v>22</v>
      </c>
      <c r="H14" s="2" t="s">
        <v>22</v>
      </c>
      <c r="I14">
        <f t="shared" ca="1" si="1"/>
        <v>256</v>
      </c>
      <c r="J14" s="10">
        <v>0</v>
      </c>
      <c r="K14" t="s">
        <v>379</v>
      </c>
    </row>
    <row r="15" spans="1:16" x14ac:dyDescent="0.3">
      <c r="A15" s="9" t="str">
        <f t="shared" si="0"/>
        <v>User Athena</v>
      </c>
      <c r="B15">
        <v>40546651</v>
      </c>
      <c r="C15" s="2" t="s">
        <v>189</v>
      </c>
      <c r="D15" t="s">
        <v>283</v>
      </c>
      <c r="E15" t="s">
        <v>288</v>
      </c>
      <c r="F15">
        <f>COUNTIF('Results export'!$H$2:$H$202,reporting!B15)</f>
        <v>1</v>
      </c>
      <c r="G15" t="s">
        <v>22</v>
      </c>
      <c r="H15" s="2" t="s">
        <v>22</v>
      </c>
      <c r="I15">
        <f t="shared" ca="1" si="1"/>
        <v>170</v>
      </c>
      <c r="J15" s="10">
        <v>1.9607843137254902E-2</v>
      </c>
      <c r="K15" t="s">
        <v>379</v>
      </c>
    </row>
    <row r="16" spans="1:16" x14ac:dyDescent="0.3">
      <c r="A16" s="9" t="str">
        <f t="shared" si="0"/>
        <v>User Athena</v>
      </c>
      <c r="B16">
        <v>40007087</v>
      </c>
      <c r="C16" s="2" t="s">
        <v>192</v>
      </c>
      <c r="D16" t="s">
        <v>283</v>
      </c>
      <c r="E16" t="s">
        <v>288</v>
      </c>
      <c r="F16">
        <f>COUNTIF('Results export'!$H$2:$H$202,reporting!B16)</f>
        <v>1</v>
      </c>
      <c r="G16" t="s">
        <v>22</v>
      </c>
      <c r="H16" s="2" t="s">
        <v>22</v>
      </c>
      <c r="I16">
        <f t="shared" ca="1" si="1"/>
        <v>192</v>
      </c>
      <c r="J16" s="10">
        <v>0</v>
      </c>
      <c r="K16" t="s">
        <v>379</v>
      </c>
    </row>
    <row r="17" spans="14:15" x14ac:dyDescent="0.3">
      <c r="N17" s="12" t="s">
        <v>387</v>
      </c>
      <c r="O17" s="12"/>
    </row>
    <row r="18" spans="14:15" x14ac:dyDescent="0.3">
      <c r="N18" s="13" t="s">
        <v>388</v>
      </c>
      <c r="O18" s="14" t="s">
        <v>389</v>
      </c>
    </row>
    <row r="19" spans="14:15" x14ac:dyDescent="0.3">
      <c r="N19" s="15" t="s">
        <v>390</v>
      </c>
      <c r="O19" s="16">
        <v>12</v>
      </c>
    </row>
    <row r="20" spans="14:15" x14ac:dyDescent="0.3">
      <c r="N20" s="15" t="s">
        <v>391</v>
      </c>
      <c r="O20" s="16">
        <v>3</v>
      </c>
    </row>
    <row r="21" spans="14:15" x14ac:dyDescent="0.3">
      <c r="N21" s="15" t="s">
        <v>392</v>
      </c>
      <c r="O21" s="16" t="s">
        <v>399</v>
      </c>
    </row>
    <row r="22" spans="14:15" x14ac:dyDescent="0.3">
      <c r="N22" s="12"/>
      <c r="O22" s="12"/>
    </row>
    <row r="23" spans="14:15" x14ac:dyDescent="0.3">
      <c r="N23" s="12" t="s">
        <v>393</v>
      </c>
      <c r="O23" s="12"/>
    </row>
    <row r="24" spans="14:15" x14ac:dyDescent="0.3">
      <c r="N24" s="13" t="s">
        <v>388</v>
      </c>
      <c r="O24" s="14" t="s">
        <v>389</v>
      </c>
    </row>
    <row r="25" spans="14:15" x14ac:dyDescent="0.3">
      <c r="N25" s="15" t="s">
        <v>394</v>
      </c>
      <c r="O25" s="17" t="s">
        <v>401</v>
      </c>
    </row>
    <row r="26" spans="14:15" x14ac:dyDescent="0.3">
      <c r="N26" s="15" t="s">
        <v>395</v>
      </c>
      <c r="O26" s="16">
        <v>201</v>
      </c>
    </row>
    <row r="27" spans="14:15" x14ac:dyDescent="0.3">
      <c r="N27" s="15" t="s">
        <v>396</v>
      </c>
      <c r="O27" s="16">
        <f>SUMIF($K$2:$K$16,N2,$F$2:$F$16)</f>
        <v>172</v>
      </c>
    </row>
    <row r="28" spans="14:15" x14ac:dyDescent="0.3">
      <c r="N28" s="15" t="s">
        <v>397</v>
      </c>
      <c r="O28" s="16">
        <f>SUMIF($K$2:$K$16,N3,$F$2:$F$16)</f>
        <v>29</v>
      </c>
    </row>
    <row r="29" spans="14:15" x14ac:dyDescent="0.3">
      <c r="N29" s="15" t="s">
        <v>398</v>
      </c>
      <c r="O29" s="16" t="s">
        <v>400</v>
      </c>
    </row>
    <row r="31" spans="14:15" x14ac:dyDescent="0.3">
      <c r="O31" s="10"/>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query</vt:lpstr>
      <vt:lpstr>Results export</vt:lpstr>
      <vt:lpstr>unique_user info</vt:lpstr>
      <vt:lpstr>reporting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Wei Kc</cp:lastModifiedBy>
  <dcterms:created xsi:type="dcterms:W3CDTF">2026-10-07T08:39:46Z</dcterms:created>
  <dcterms:modified xsi:type="dcterms:W3CDTF">2026-10-08T03:32:36Z</dcterms:modified>
</cp:coreProperties>
</file>