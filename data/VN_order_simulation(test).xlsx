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DA27464E-AE89-446B-9217-8429C7FCC688}" xr6:coauthVersionLast="47" xr6:coauthVersionMax="47" xr10:uidLastSave="{00000000-0000-0000-0000-000000000000}"/>
  <bookViews>
    <workbookView xWindow="-108" yWindow="-108" windowWidth="23256" windowHeight="12456" activeTab="1" xr2:uid="{9C8133E3-E864-46F0-B892-95CA47D890F9}"/>
  </bookViews>
  <sheets>
    <sheet name="Que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E11" i="2"/>
  <c r="C11" i="2"/>
</calcChain>
</file>

<file path=xl/sharedStrings.xml><?xml version="1.0" encoding="utf-8"?>
<sst xmlns="http://schemas.openxmlformats.org/spreadsheetml/2006/main" count="7" uniqueCount="7">
  <si>
    <t>Index</t>
  </si>
  <si>
    <t>order_month</t>
  </si>
  <si>
    <t>total_unique_users</t>
  </si>
  <si>
    <t>avg_orders_per_user</t>
  </si>
  <si>
    <t>avg_order_lag_seconds</t>
  </si>
  <si>
    <t>avg_completion_rate</t>
  </si>
  <si>
    <t>SET hive.mapred.mode = 'nonstrict';
WITH base_orders AS (
  SELECT
    user_id,
    order_display_id,
    create_time_local,
    order_status_name,
    -- Compatible monthly truncation for Hive SQL
    TRUNC(create_time_local, 'MM') AS order_month,
    -- Previous order creation time for the same user
    LAG(create_time_local) OVER (
      PARTITION BY user_id 
      ORDER BY create_time_local ASC
    ) AS prev_create_time_local
  FROM
    llm_dwb.dwb_order_base
  WHERE
    stat_date = date_sub(current_date,1)
    AND data_center_id = 2
    AND country_code = 'VN'
    AND TO_DATE(create_time_local) BETWEEN '2026-8-01' AND '2026-08-31'
),
user_monthly_metrics AS (
  SELECT
    order_month,
    user_id,
    -- Total orders placed by the user in the month
    COUNT(DISTINCT order_display_id) AS user_order_count,
    -- Calculate lag in seconds between consecutive orders for the user
    AVG(
      UNIX_TIMESTAMP(create_time_local) - UNIX_TIMESTAMP(prev_create_time_local)
    ) AS avg_user_order_lag_seconds,
    -- Completion rate per user in the month
    CAST(
      COUNT(
        CASE 
          WHEN order_status_name IN ('Completed', 'Completed Unexpectedly') THEN 1 
        END
      ) AS DOUBLE
    ) / COUNT(order_display_id) AS user_completion_rate
  FROM
    base_orders
  GROUP BY
    order_month,
    user_id
)
SELECT
  order_month,
  -- Total Unique Users in the month
  COUNT(DISTINCT user_id) AS total_unique_users,
  -- Average order count per unique user
  AVG(user_order_count) AS avg_orders_per_user,
  -- Average lag between consecutive orders (in seconds)
  AVG(avg_user_order_lag_seconds) AS avg_order_lag_seconds,
  -- Average completion rate across users
  AVG(user_completion_rate) AS avg_completion_rate
FROM
  user_monthly_metrics
GROUP BY
  order_month
ORDER BY
  order_month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</si>
</sst>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0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9" fontId="0" fillId="0" borderId="0" xfId="2" applyFont="1"/>
    <xf numFmtId="2" fontId="0" fillId="0" borderId="0" xfId="0" applyNumberFormat="1"/>
    <xf numFmtId="1" fontId="0" fillId="0" borderId="0" xfId="0" applyNumberFormat="1"/>
    <xf numFmtId="180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01C0-1C20-4840-9CD9-E4221B4E24B0}">
  <dimension ref="A1"/>
  <sheetViews>
    <sheetView workbookViewId="0">
      <selection activeCell="D1" sqref="D1"/>
    </sheetView>
  </sheetViews>
  <sheetFormatPr defaultRowHeight="14.4" x14ac:dyDescent="0.3"/>
  <cols>
    <col min="1" max="1" width="83.109375" customWidth="1"/>
  </cols>
  <sheetData>
    <row r="1" spans="1:1" ht="409.6" x14ac:dyDescent="0.3">
      <c r="A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C225-7C42-476D-B5F5-C80092089EF3}">
  <dimension ref="A1:H11"/>
  <sheetViews>
    <sheetView tabSelected="1" workbookViewId="0">
      <selection activeCell="D14" sqref="D14"/>
    </sheetView>
  </sheetViews>
  <sheetFormatPr defaultRowHeight="14.4" x14ac:dyDescent="0.3"/>
  <cols>
    <col min="1" max="1" width="5.21875" bestFit="1" customWidth="1"/>
    <col min="2" max="2" width="11.21875" bestFit="1" customWidth="1"/>
    <col min="3" max="3" width="16.109375" bestFit="1" customWidth="1"/>
    <col min="4" max="4" width="17.6640625" bestFit="1" customWidth="1"/>
    <col min="5" max="5" width="19.6640625" bestFit="1" customWidth="1"/>
    <col min="6" max="6" width="17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>
        <v>1</v>
      </c>
      <c r="B2" s="2">
        <v>46023</v>
      </c>
      <c r="C2">
        <v>313146</v>
      </c>
      <c r="D2" s="5">
        <v>9.1886117018898492</v>
      </c>
      <c r="E2" s="4">
        <v>294235.61256564199</v>
      </c>
      <c r="F2" s="3">
        <v>0.72057328459860703</v>
      </c>
      <c r="H2" t="str">
        <f>TEXT(E2 / 86400, "[h]:mm")</f>
        <v>81:43</v>
      </c>
    </row>
    <row r="3" spans="1:8" x14ac:dyDescent="0.3">
      <c r="A3">
        <v>2</v>
      </c>
      <c r="B3" s="2">
        <v>46054</v>
      </c>
      <c r="C3">
        <v>295549</v>
      </c>
      <c r="D3" s="5">
        <v>6.5733803870085801</v>
      </c>
      <c r="E3" s="4">
        <v>257236.44209416999</v>
      </c>
      <c r="F3" s="3">
        <v>0.64805084439907601</v>
      </c>
      <c r="H3" t="str">
        <f t="shared" ref="H3:H9" si="0">TEXT(E3 / 86400, "[h]:mm")</f>
        <v>71:27</v>
      </c>
    </row>
    <row r="4" spans="1:8" x14ac:dyDescent="0.3">
      <c r="A4">
        <v>3</v>
      </c>
      <c r="B4" s="2">
        <v>46082</v>
      </c>
      <c r="C4">
        <v>313619</v>
      </c>
      <c r="D4" s="5">
        <v>7.8039372614541804</v>
      </c>
      <c r="E4" s="4">
        <v>302469.04751418898</v>
      </c>
      <c r="F4" s="3">
        <v>0.72337723749597205</v>
      </c>
      <c r="H4" t="str">
        <f t="shared" si="0"/>
        <v>84:01</v>
      </c>
    </row>
    <row r="5" spans="1:8" x14ac:dyDescent="0.3">
      <c r="A5">
        <v>4</v>
      </c>
      <c r="B5" s="2">
        <v>46113</v>
      </c>
      <c r="C5">
        <v>306685</v>
      </c>
      <c r="D5" s="5">
        <v>7.80997766437876</v>
      </c>
      <c r="E5" s="4">
        <v>308002.54300658399</v>
      </c>
      <c r="F5" s="3">
        <v>0.76857315766185297</v>
      </c>
      <c r="H5" t="str">
        <f t="shared" si="0"/>
        <v>85:33</v>
      </c>
    </row>
    <row r="6" spans="1:8" x14ac:dyDescent="0.3">
      <c r="A6">
        <v>5</v>
      </c>
      <c r="B6" s="2">
        <v>46143</v>
      </c>
      <c r="C6">
        <v>325197</v>
      </c>
      <c r="D6" s="5">
        <v>7.8540638443774</v>
      </c>
      <c r="E6" s="4">
        <v>298320.200370871</v>
      </c>
      <c r="F6" s="3">
        <v>0.75084631235407595</v>
      </c>
      <c r="H6" t="str">
        <f t="shared" si="0"/>
        <v>82:52</v>
      </c>
    </row>
    <row r="7" spans="1:8" x14ac:dyDescent="0.3">
      <c r="A7">
        <v>6</v>
      </c>
      <c r="B7" s="2">
        <v>46174</v>
      </c>
      <c r="C7">
        <v>335830</v>
      </c>
      <c r="D7" s="5">
        <v>7.7488788970610099</v>
      </c>
      <c r="E7" s="4">
        <v>308463.62448386301</v>
      </c>
      <c r="F7" s="3">
        <v>0.76548426195844799</v>
      </c>
      <c r="H7" t="str">
        <f t="shared" si="0"/>
        <v>85:41</v>
      </c>
    </row>
    <row r="8" spans="1:8" x14ac:dyDescent="0.3">
      <c r="A8">
        <v>7</v>
      </c>
      <c r="B8" s="2">
        <v>46204</v>
      </c>
      <c r="C8">
        <v>350155</v>
      </c>
      <c r="D8" s="5">
        <v>7.8307206808413401</v>
      </c>
      <c r="E8" s="4">
        <v>318174.09554561198</v>
      </c>
      <c r="F8" s="3">
        <v>0.77374807530623002</v>
      </c>
      <c r="H8" t="str">
        <f t="shared" si="0"/>
        <v>88:22</v>
      </c>
    </row>
    <row r="9" spans="1:8" x14ac:dyDescent="0.3">
      <c r="A9">
        <v>8</v>
      </c>
      <c r="B9" s="2">
        <v>46235</v>
      </c>
      <c r="C9">
        <v>376010</v>
      </c>
      <c r="D9" s="5">
        <v>7.8264992952315096</v>
      </c>
      <c r="E9" s="4">
        <v>300605.76399308897</v>
      </c>
      <c r="F9" s="3">
        <v>0.73293087594283102</v>
      </c>
      <c r="H9" t="str">
        <f t="shared" si="0"/>
        <v>83:30</v>
      </c>
    </row>
    <row r="11" spans="1:8" x14ac:dyDescent="0.3">
      <c r="C11" s="6">
        <f>AVERAGE(C2:C9)</f>
        <v>327023.875</v>
      </c>
      <c r="E11" s="4">
        <f>AVERAGE(E2:E9)</f>
        <v>298438.41619675251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Kc</dc:creator>
  <cp:lastModifiedBy>Wei Kc</cp:lastModifiedBy>
  <dcterms:created xsi:type="dcterms:W3CDTF">2026-09-15T02:19:49Z</dcterms:created>
  <dcterms:modified xsi:type="dcterms:W3CDTF">2026-09-18T00:58:02Z</dcterms:modified>
</cp:coreProperties>
</file>