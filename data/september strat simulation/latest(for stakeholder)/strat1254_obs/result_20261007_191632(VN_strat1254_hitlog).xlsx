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september strat simulation\latest(for stakeholder)\strat1254_obs\"/>
    </mc:Choice>
  </mc:AlternateContent>
  <xr:revisionPtr revIDLastSave="0" documentId="13_ncr:28001_{FFBD9C68-BA12-4CAC-BF58-5C7E3E7CA7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  <sheet name="Sheet1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G11" i="2" s="1"/>
  <c r="C11" i="2"/>
  <c r="B4" i="1"/>
  <c r="A4" i="1"/>
</calcChain>
</file>

<file path=xl/sharedStrings.xml><?xml version="1.0" encoding="utf-8"?>
<sst xmlns="http://schemas.openxmlformats.org/spreadsheetml/2006/main" count="22" uniqueCount="15">
  <si>
    <t>vn_service_disruption_hit_order_rate</t>
  </si>
  <si>
    <t>vn_service_disruption_hit_user_rate</t>
  </si>
  <si>
    <t>avg_vn_service_disruption_hit_order_cnt</t>
  </si>
  <si>
    <t>avg_vn_service_disruption_hit_user_cnt</t>
  </si>
  <si>
    <t>Time</t>
  </si>
  <si>
    <t>strategy name</t>
  </si>
  <si>
    <t>request</t>
  </si>
  <si>
    <t>interception amount</t>
  </si>
  <si>
    <t>effect amount</t>
  </si>
  <si>
    <t>observe amount</t>
  </si>
  <si>
    <t>pv amount</t>
  </si>
  <si>
    <t>uv amount</t>
  </si>
  <si>
    <t>contribution rate</t>
  </si>
  <si>
    <t>hit rate(%)</t>
  </si>
  <si>
    <t>VN - Service Disruption - Rapid Order Placement - Forbid Order Placing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</si>
</sst>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jEyNy4wLjAuMSIsImRhdGUiOjE3OTEzNjIwNjk1NDQsImZpbGVOYW1lIjoiLi9kb3dubG9hZC1yZWFkeS8ycm0wd3pmOF90NnFmZDRpOS54bHN4IiwiaXNTZW5zaXRpdmUiOmZhbHNlLCJzZW5zaXRpdmVMZXZlbCI6IkMxIiwidXJsIjoiIiwib3RoZXIiOiIiLCJpc0VuY3J5cHQiOnRydWUsInBhc3N3b3JkIjoidDZxZmQ0aTk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7" sqref="C7"/>
    </sheetView>
  </sheetViews>
  <sheetFormatPr defaultRowHeight="14.4" x14ac:dyDescent="0.3"/>
  <cols>
    <col min="1" max="1" width="30.5546875" bestFit="1" customWidth="1"/>
    <col min="2" max="2" width="29.77734375" bestFit="1" customWidth="1"/>
    <col min="3" max="3" width="33.33203125" bestFit="1" customWidth="1"/>
    <col min="4" max="4" width="32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2.533654111591203E-5</v>
      </c>
      <c r="B2">
        <v>6.4233941728680968E-6</v>
      </c>
      <c r="C2">
        <v>201</v>
      </c>
      <c r="D2">
        <v>15</v>
      </c>
    </row>
    <row r="4" spans="1:4" x14ac:dyDescent="0.3">
      <c r="A4">
        <f>A2*100</f>
        <v>2.5336541115912031E-3</v>
      </c>
      <c r="B4">
        <f>B2*100</f>
        <v>6.4233941728680972E-4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85B4-EB36-45FB-B111-F13C30984CB6}">
  <dimension ref="A1:J11"/>
  <sheetViews>
    <sheetView workbookViewId="0">
      <selection activeCell="G11" sqref="G11"/>
    </sheetView>
  </sheetViews>
  <sheetFormatPr defaultRowHeight="14.4" x14ac:dyDescent="0.3"/>
  <cols>
    <col min="1" max="1" width="9.33203125" bestFit="1" customWidth="1"/>
    <col min="2" max="2" width="58" bestFit="1" customWidth="1"/>
    <col min="3" max="3" width="8" bestFit="1" customWidth="1"/>
    <col min="4" max="4" width="17.33203125" bestFit="1" customWidth="1"/>
    <col min="5" max="5" width="12.109375" bestFit="1" customWidth="1"/>
    <col min="6" max="6" width="13.88671875" bestFit="1" customWidth="1"/>
    <col min="7" max="7" width="12" bestFit="1" customWidth="1"/>
    <col min="8" max="8" width="9.21875" bestFit="1" customWidth="1"/>
    <col min="9" max="9" width="14.33203125" bestFit="1" customWidth="1"/>
    <col min="10" max="10" width="9.21875" bestFit="1" customWidth="1"/>
  </cols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3">
      <c r="A2" s="1">
        <v>46294</v>
      </c>
      <c r="B2" t="s">
        <v>14</v>
      </c>
      <c r="C2">
        <v>450140</v>
      </c>
      <c r="D2">
        <v>0</v>
      </c>
      <c r="E2">
        <v>0</v>
      </c>
      <c r="F2">
        <v>7</v>
      </c>
      <c r="G2">
        <v>7</v>
      </c>
      <c r="H2">
        <v>2</v>
      </c>
      <c r="I2">
        <v>0</v>
      </c>
      <c r="J2">
        <v>2E-3</v>
      </c>
    </row>
    <row r="3" spans="1:10" x14ac:dyDescent="0.3">
      <c r="A3" s="1">
        <v>46295</v>
      </c>
      <c r="B3" t="s">
        <v>14</v>
      </c>
      <c r="C3">
        <v>957877</v>
      </c>
      <c r="D3">
        <v>0</v>
      </c>
      <c r="E3">
        <v>0</v>
      </c>
      <c r="F3">
        <v>35</v>
      </c>
      <c r="G3">
        <v>35</v>
      </c>
      <c r="H3">
        <v>2</v>
      </c>
      <c r="I3">
        <v>0</v>
      </c>
      <c r="J3">
        <v>4.0000000000000001E-3</v>
      </c>
    </row>
    <row r="4" spans="1:10" x14ac:dyDescent="0.3">
      <c r="A4" s="1">
        <v>46296</v>
      </c>
      <c r="B4" t="s">
        <v>14</v>
      </c>
      <c r="C4">
        <v>977830</v>
      </c>
      <c r="D4">
        <v>0</v>
      </c>
      <c r="E4">
        <v>0</v>
      </c>
      <c r="F4">
        <v>27</v>
      </c>
      <c r="G4">
        <v>27</v>
      </c>
      <c r="H4">
        <v>5</v>
      </c>
      <c r="I4">
        <v>0</v>
      </c>
      <c r="J4">
        <v>3.0000000000000001E-3</v>
      </c>
    </row>
    <row r="5" spans="1:10" x14ac:dyDescent="0.3">
      <c r="A5" s="1">
        <v>46297</v>
      </c>
      <c r="B5" t="s">
        <v>14</v>
      </c>
      <c r="C5">
        <v>1031983</v>
      </c>
      <c r="D5">
        <v>0</v>
      </c>
      <c r="E5">
        <v>0</v>
      </c>
      <c r="F5">
        <v>4</v>
      </c>
      <c r="G5">
        <v>4</v>
      </c>
      <c r="H5">
        <v>3</v>
      </c>
      <c r="I5">
        <v>0</v>
      </c>
      <c r="J5">
        <v>0</v>
      </c>
    </row>
    <row r="6" spans="1:10" x14ac:dyDescent="0.3">
      <c r="A6" s="1">
        <v>46298</v>
      </c>
      <c r="B6" t="s">
        <v>14</v>
      </c>
      <c r="C6">
        <v>885834</v>
      </c>
      <c r="D6">
        <v>0</v>
      </c>
      <c r="E6">
        <v>0</v>
      </c>
      <c r="F6">
        <v>5</v>
      </c>
      <c r="G6">
        <v>5</v>
      </c>
      <c r="H6">
        <v>1</v>
      </c>
      <c r="I6">
        <v>0</v>
      </c>
      <c r="J6">
        <v>1E-3</v>
      </c>
    </row>
    <row r="7" spans="1:10" x14ac:dyDescent="0.3">
      <c r="A7" s="1">
        <v>46299</v>
      </c>
      <c r="B7" t="s">
        <v>14</v>
      </c>
      <c r="C7">
        <v>581413</v>
      </c>
      <c r="D7">
        <v>0</v>
      </c>
      <c r="E7">
        <v>0</v>
      </c>
      <c r="F7">
        <v>75</v>
      </c>
      <c r="G7">
        <v>75</v>
      </c>
      <c r="H7">
        <v>2</v>
      </c>
      <c r="I7">
        <v>0</v>
      </c>
      <c r="J7">
        <v>1.2999999999999999E-2</v>
      </c>
    </row>
    <row r="8" spans="1:10" x14ac:dyDescent="0.3">
      <c r="A8" s="1">
        <v>46300</v>
      </c>
      <c r="B8" t="s">
        <v>14</v>
      </c>
      <c r="C8">
        <v>956492</v>
      </c>
      <c r="D8">
        <v>0</v>
      </c>
      <c r="E8">
        <v>0</v>
      </c>
      <c r="F8">
        <v>22</v>
      </c>
      <c r="G8">
        <v>22</v>
      </c>
      <c r="H8">
        <v>3</v>
      </c>
      <c r="I8">
        <v>0</v>
      </c>
      <c r="J8">
        <v>2E-3</v>
      </c>
    </row>
    <row r="9" spans="1:10" x14ac:dyDescent="0.3">
      <c r="A9" s="1">
        <v>46301</v>
      </c>
      <c r="B9" t="s">
        <v>14</v>
      </c>
      <c r="C9">
        <v>936464</v>
      </c>
      <c r="D9">
        <v>0</v>
      </c>
      <c r="E9">
        <v>0</v>
      </c>
      <c r="F9">
        <v>21</v>
      </c>
      <c r="G9">
        <v>21</v>
      </c>
      <c r="H9">
        <v>4</v>
      </c>
      <c r="I9">
        <v>0</v>
      </c>
      <c r="J9">
        <v>2E-3</v>
      </c>
    </row>
    <row r="11" spans="1:10" x14ac:dyDescent="0.3">
      <c r="C11">
        <f>SUM(C2:C9)</f>
        <v>6778033</v>
      </c>
      <c r="F11">
        <f>SUM(F2:F9)</f>
        <v>196</v>
      </c>
      <c r="G11">
        <f>F11/C11*100</f>
        <v>2.8916943898030594E-3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export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2026-10-07T08:34:29Z</dcterms:created>
  <dcterms:modified xsi:type="dcterms:W3CDTF">2026-10-07T16:02:02Z</dcterms:modified>
</cp:coreProperties>
</file>