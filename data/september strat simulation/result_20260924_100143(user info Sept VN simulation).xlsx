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september strat simulation\"/>
    </mc:Choice>
  </mc:AlternateContent>
  <xr:revisionPtr revIDLastSave="0" documentId="13_ncr:1_{7671AE1A-4969-4EEC-A5AF-9884C4052D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T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2" i="1"/>
</calcChain>
</file>

<file path=xl/sharedStrings.xml><?xml version="1.0" encoding="utf-8"?>
<sst xmlns="http://schemas.openxmlformats.org/spreadsheetml/2006/main" count="185" uniqueCount="103">
  <si>
    <t>user_id</t>
  </si>
  <si>
    <t>register_time</t>
  </si>
  <si>
    <t>phone_no</t>
  </si>
  <si>
    <t>email</t>
  </si>
  <si>
    <t>last_name</t>
  </si>
  <si>
    <t>first_name</t>
  </si>
  <si>
    <t>city_id</t>
  </si>
  <si>
    <t>first_login_country</t>
  </si>
  <si>
    <t>total_create_cnt</t>
  </si>
  <si>
    <t>total_complete_cnt</t>
  </si>
  <si>
    <t>days_since_register</t>
  </si>
  <si>
    <t>first_create_time_local</t>
  </si>
  <si>
    <t>first_completed_order_time_local</t>
  </si>
  <si>
    <t>last_create_time_local</t>
  </si>
  <si>
    <t>last_complete_time_local</t>
  </si>
  <si>
    <t>is_corp</t>
  </si>
  <si>
    <t>ban_status</t>
  </si>
  <si>
    <t>2026-09-07 21:52:22.0</t>
  </si>
  <si>
    <t>AES_LQe2UZsmc2sTFe2NCD1emA==</t>
  </si>
  <si>
    <t>NULL</t>
  </si>
  <si>
    <t/>
  </si>
  <si>
    <t>2026-09-08 07:50:12</t>
  </si>
  <si>
    <t>2026-09-08 08:19:23</t>
  </si>
  <si>
    <t>No</t>
  </si>
  <si>
    <t>BANNED</t>
  </si>
  <si>
    <t>2026-09-14 08:19:35.0</t>
  </si>
  <si>
    <t>AES_ixmJ0X/Hwr7WdOQhSQtQNg==</t>
  </si>
  <si>
    <t>2026-09-14 07:21:05</t>
  </si>
  <si>
    <t>2026-09-14 08:15:12</t>
  </si>
  <si>
    <t>2026-09-14 08:05:14</t>
  </si>
  <si>
    <t>2026-09-14 11:10:36</t>
  </si>
  <si>
    <t>2026-09-10 08:37:15.0</t>
  </si>
  <si>
    <t>AES_dkD6mD9Pz5FxPUN+hMpuCQ==</t>
  </si>
  <si>
    <t>2026-09-10 07:39:46</t>
  </si>
  <si>
    <t>2026-09-10 09:18:47</t>
  </si>
  <si>
    <t>2026-09-15 09:17:50.0</t>
  </si>
  <si>
    <t>AES_OrOIR7cfqrp9uBrC7rqT3w==</t>
  </si>
  <si>
    <t>2026-09-15 08:21:26</t>
  </si>
  <si>
    <t>2026-09-15 08:31:00</t>
  </si>
  <si>
    <t>2026-09-15 13:55:13</t>
  </si>
  <si>
    <t>2026-09-15 08:38:18</t>
  </si>
  <si>
    <t>2026-09-03 08:12:07.0</t>
  </si>
  <si>
    <t>AES_c/KBPzWP8pfI5Z5CsO4Q7w==</t>
  </si>
  <si>
    <t>2026-09-03 07:14:19</t>
  </si>
  <si>
    <t>2026-09-03 08:16:22</t>
  </si>
  <si>
    <t>2026-09-04 08:07:52.0</t>
  </si>
  <si>
    <t>AES_CeYitpQezXzyyYgA/63p9g==</t>
  </si>
  <si>
    <t>2026-09-04 07:09:40</t>
  </si>
  <si>
    <t>2026-09-04 07:39:55</t>
  </si>
  <si>
    <t>2026-09-07 21:37:59.0</t>
  </si>
  <si>
    <t>AES_chygnIFHYpt6/ZByjkDTag==</t>
  </si>
  <si>
    <t>2026-09-09 07:44:30</t>
  </si>
  <si>
    <t>2026-09-09 08:16:02</t>
  </si>
  <si>
    <t>2026-09-09 08:16:05</t>
  </si>
  <si>
    <t>2026-09-19 08:17:02</t>
  </si>
  <si>
    <t>2026-09-12 08:11:34.0</t>
  </si>
  <si>
    <t>AES_uXFmpzO1BfEGo7+taoY27Q==</t>
  </si>
  <si>
    <t>2026-09-12 07:15:12</t>
  </si>
  <si>
    <t>2026-09-14 08:56:04</t>
  </si>
  <si>
    <t>2026-09-07 08:20:38.0</t>
  </si>
  <si>
    <t>AES_rX0EJu983LWM4ascXWu12A==</t>
  </si>
  <si>
    <t>2026-09-07 07:22:20</t>
  </si>
  <si>
    <t>2026-09-07 08:02:50</t>
  </si>
  <si>
    <t>2026-09-07 07:57:12</t>
  </si>
  <si>
    <t>2026-09-17 08:03:50</t>
  </si>
  <si>
    <t>2026-09-01 08:23:12.0</t>
  </si>
  <si>
    <t>AES_lsebD3NolGWmEmto9ImQEQ==</t>
  </si>
  <si>
    <t>2026-09-01 07:25:27</t>
  </si>
  <si>
    <t>2026-09-01 07:45:57</t>
  </si>
  <si>
    <t>2026-09-01 08:31:52</t>
  </si>
  <si>
    <t>2026-09-11 07:53:59</t>
  </si>
  <si>
    <t>2026-09-05 08:25:52.0</t>
  </si>
  <si>
    <t>AES_fXdQrmhoE4s2ZsQH9L1tAQ==</t>
  </si>
  <si>
    <t>2026-09-05 07:28:24</t>
  </si>
  <si>
    <t>2026-09-05 09:29:56</t>
  </si>
  <si>
    <t>2026-09-05 09:23:49</t>
  </si>
  <si>
    <t>2026-09-05 11:54:06</t>
  </si>
  <si>
    <t>2026-09-21 07:35:57.0</t>
  </si>
  <si>
    <t>AES_ToQgB55JZLbOl6BE9Jf7Hg==</t>
  </si>
  <si>
    <t>2026-09-21 06:37:28</t>
  </si>
  <si>
    <t>2026-09-21 06:51:17</t>
  </si>
  <si>
    <t>NOT BAN</t>
  </si>
  <si>
    <t>2026-09-11 07:56:20.0</t>
  </si>
  <si>
    <t>AES_cLO67eWB6RNb8HShKdbhjQ==</t>
  </si>
  <si>
    <t>2026-09-11 07:13:06</t>
  </si>
  <si>
    <t>2026-09-11 09:28:33</t>
  </si>
  <si>
    <t>2026-09-17 13:56:51.0</t>
  </si>
  <si>
    <t>AES_Gt9HUahgkr61pHaRlwSVug==</t>
  </si>
  <si>
    <t>2026-09-17 12:58:56</t>
  </si>
  <si>
    <t>2026-09-17 13:22:12</t>
  </si>
  <si>
    <t>2020-04-30 15:05:10.0</t>
  </si>
  <si>
    <t>AES_DqKAiwkGfv8opG24IVeCuA==</t>
  </si>
  <si>
    <t>AES_DWRWcCotVf0lv/X2b3GSqbNV2XTl7G3vS91UHH/mnPw=</t>
  </si>
  <si>
    <t>Đại</t>
  </si>
  <si>
    <t>Huy</t>
  </si>
  <si>
    <t>2021-12-16 20:58:45</t>
  </si>
  <si>
    <t>2021-12-17 13:42:54</t>
  </si>
  <si>
    <t>2026-09-22 08:10:25</t>
  </si>
  <si>
    <t>2026-09-18 15:41:40</t>
  </si>
  <si>
    <t>Corp</t>
  </si>
  <si>
    <t>lifetime_completion_rate</t>
  </si>
  <si>
    <t>ban_reason</t>
  </si>
  <si>
    <t>ban_datetime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</si>
</sst>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ei.kc\Desktop\Adhoc\03%20Sept%202026\data\september%20strat%20simulation\result_20260925_153530(simulate%20VN%20strat%20user%20ban%20info).xlsx" TargetMode="External"/><Relationship Id="rId1" Type="http://schemas.openxmlformats.org/officeDocument/2006/relationships/externalLinkPath" Target="result_20260925_153530(simulate%20VN%20strat%20user%20ban%20inf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 export"/>
    </sheetNames>
    <sheetDataSet>
      <sheetData sheetId="0">
        <row r="2">
          <cell r="F2">
            <v>44272938</v>
          </cell>
          <cell r="G2" t="str">
            <v>Placed over 70 fake orders</v>
          </cell>
          <cell r="H2" t="str">
            <v>2031-09-07 10:07:20</v>
          </cell>
        </row>
        <row r="3">
          <cell r="F3">
            <v>44296876</v>
          </cell>
          <cell r="G3" t="str">
            <v>Placed over 100 fake orders</v>
          </cell>
          <cell r="H3" t="str">
            <v>2031-09-08 10:34:19</v>
          </cell>
        </row>
        <row r="4">
          <cell r="F4">
            <v>44411915</v>
          </cell>
          <cell r="G4" t="str">
            <v>Placed over 200 fake orders</v>
          </cell>
          <cell r="H4" t="str">
            <v>2031-09-14 10:11:00</v>
          </cell>
        </row>
        <row r="5">
          <cell r="F5">
            <v>44556652</v>
          </cell>
          <cell r="G5" t="str">
            <v>Placed more than 20 fake orders</v>
          </cell>
          <cell r="H5" t="str">
            <v>2031-09-17 15:28:30</v>
          </cell>
        </row>
        <row r="6">
          <cell r="F6">
            <v>44356673</v>
          </cell>
          <cell r="G6" t="str">
            <v>Placed over 100 fake orders</v>
          </cell>
          <cell r="H6" t="str">
            <v>2031-09-10 10:18:57</v>
          </cell>
        </row>
        <row r="7">
          <cell r="F7">
            <v>44186868</v>
          </cell>
          <cell r="G7" t="str">
            <v>Placed over 60 fake orders</v>
          </cell>
          <cell r="H7" t="str">
            <v>2031-09-04 10:16:16</v>
          </cell>
        </row>
        <row r="8">
          <cell r="F8">
            <v>44493892</v>
          </cell>
          <cell r="G8" t="str">
            <v>Placed more than 20 fake orders</v>
          </cell>
          <cell r="H8" t="str">
            <v>2031-09-15 16:25:49</v>
          </cell>
        </row>
        <row r="9">
          <cell r="F9">
            <v>44102503</v>
          </cell>
          <cell r="G9" t="str">
            <v>Placed over 80 fake orders</v>
          </cell>
          <cell r="H9" t="str">
            <v>2031-09-03 10:03:06</v>
          </cell>
        </row>
        <row r="10">
          <cell r="F10">
            <v>44158705</v>
          </cell>
          <cell r="G10" t="str">
            <v>Placed over 80 fake orders</v>
          </cell>
          <cell r="H10" t="str">
            <v>2031-09-03 10:14:37</v>
          </cell>
        </row>
        <row r="11">
          <cell r="F11">
            <v>44216865</v>
          </cell>
          <cell r="G11" t="str">
            <v>Placed over 100 fake orders</v>
          </cell>
          <cell r="H11" t="str">
            <v>2031-09-06 10:36:34</v>
          </cell>
        </row>
        <row r="12">
          <cell r="F12">
            <v>44383919</v>
          </cell>
          <cell r="G12" t="str">
            <v>Placed over 200 fake orders</v>
          </cell>
          <cell r="H12" t="str">
            <v>2031-09-11 10:29:16</v>
          </cell>
        </row>
        <row r="13">
          <cell r="F13">
            <v>44296581</v>
          </cell>
          <cell r="G13" t="str">
            <v>Placed over 100 fake orders</v>
          </cell>
          <cell r="H13" t="str">
            <v>2031-09-09 10:30:36</v>
          </cell>
        </row>
        <row r="14">
          <cell r="F14">
            <v>44465143</v>
          </cell>
          <cell r="G14" t="str">
            <v>Placed over 20 fake orders</v>
          </cell>
          <cell r="H14" t="str">
            <v>2031-09-14 10:17:21</v>
          </cell>
        </row>
        <row r="15">
          <cell r="F15">
            <v>44356673</v>
          </cell>
          <cell r="G15" t="str">
            <v>The crawler user provided by alex666.wang. No order records, valuation behavior is abnormal.</v>
          </cell>
          <cell r="H15" t="str">
            <v>2027-09-11 00:00:00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/>
  </sheetViews>
  <sheetFormatPr defaultRowHeight="14.4" x14ac:dyDescent="0.3"/>
  <cols>
    <col min="1" max="1" width="9" bestFit="1" customWidth="1"/>
    <col min="2" max="2" width="19.5546875" bestFit="1" customWidth="1"/>
    <col min="3" max="3" width="31.6640625" hidden="1" customWidth="1"/>
    <col min="4" max="4" width="51.77734375" hidden="1" customWidth="1"/>
    <col min="5" max="5" width="9.21875" bestFit="1" customWidth="1"/>
    <col min="6" max="6" width="9.44140625" bestFit="1" customWidth="1"/>
    <col min="7" max="7" width="7" bestFit="1" customWidth="1"/>
    <col min="8" max="8" width="15.5546875" bestFit="1" customWidth="1"/>
    <col min="9" max="9" width="14" bestFit="1" customWidth="1"/>
    <col min="10" max="10" width="16.33203125" bestFit="1" customWidth="1"/>
    <col min="11" max="11" width="16.77734375" bestFit="1" customWidth="1"/>
    <col min="12" max="12" width="19.33203125" bestFit="1" customWidth="1"/>
    <col min="13" max="13" width="28" bestFit="1" customWidth="1"/>
    <col min="14" max="14" width="19.109375" bestFit="1" customWidth="1"/>
    <col min="15" max="15" width="21.5546875" bestFit="1" customWidth="1"/>
    <col min="16" max="16" width="6.77734375" bestFit="1" customWidth="1"/>
    <col min="17" max="17" width="9.6640625" bestFit="1" customWidth="1"/>
    <col min="18" max="18" width="21" bestFit="1" customWidth="1"/>
    <col min="19" max="19" width="27.109375" bestFit="1" customWidth="1"/>
    <col min="20" max="20" width="18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100</v>
      </c>
      <c r="S1" t="s">
        <v>101</v>
      </c>
      <c r="T1" t="s">
        <v>102</v>
      </c>
    </row>
    <row r="2" spans="1:20" x14ac:dyDescent="0.3">
      <c r="A2" s="2">
        <v>44296876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>
        <v>101005</v>
      </c>
      <c r="H2">
        <v>100000</v>
      </c>
      <c r="I2">
        <v>108</v>
      </c>
      <c r="J2">
        <v>0</v>
      </c>
      <c r="K2">
        <v>16</v>
      </c>
      <c r="L2" t="s">
        <v>21</v>
      </c>
      <c r="M2" t="s">
        <v>19</v>
      </c>
      <c r="N2" t="s">
        <v>22</v>
      </c>
      <c r="O2" t="s">
        <v>19</v>
      </c>
      <c r="P2" t="s">
        <v>23</v>
      </c>
      <c r="Q2" t="s">
        <v>24</v>
      </c>
      <c r="R2" s="1">
        <f>J2/I2</f>
        <v>0</v>
      </c>
      <c r="S2" t="str">
        <f>IF(Q2="NOT BAN","",_xlfn.XLOOKUP(A2,'[1]Results export'!$F$2:$F$15,'[1]Results export'!$G$2:$G$15))</f>
        <v>Placed over 100 fake orders</v>
      </c>
      <c r="T2" t="str">
        <f>IF(Q2="NOT BAN","",_xlfn.XLOOKUP(A2,'[1]Results export'!$F$2:$F$15,'[1]Results export'!$H$2:$H$15))</f>
        <v>2031-09-08 10:34:19</v>
      </c>
    </row>
    <row r="3" spans="1:20" x14ac:dyDescent="0.3">
      <c r="A3" s="2">
        <v>44465143</v>
      </c>
      <c r="B3" t="s">
        <v>25</v>
      </c>
      <c r="C3" t="s">
        <v>26</v>
      </c>
      <c r="D3" t="s">
        <v>19</v>
      </c>
      <c r="E3" t="s">
        <v>20</v>
      </c>
      <c r="F3" t="s">
        <v>20</v>
      </c>
      <c r="G3">
        <v>101005</v>
      </c>
      <c r="H3">
        <v>100000</v>
      </c>
      <c r="I3">
        <v>86</v>
      </c>
      <c r="J3">
        <v>1</v>
      </c>
      <c r="K3">
        <v>9</v>
      </c>
      <c r="L3" t="s">
        <v>27</v>
      </c>
      <c r="M3" t="s">
        <v>28</v>
      </c>
      <c r="N3" t="s">
        <v>29</v>
      </c>
      <c r="O3" t="s">
        <v>30</v>
      </c>
      <c r="P3" t="s">
        <v>23</v>
      </c>
      <c r="Q3" t="s">
        <v>24</v>
      </c>
      <c r="R3" s="1">
        <f t="shared" ref="R3:R16" si="0">J3/I3</f>
        <v>1.1627906976744186E-2</v>
      </c>
      <c r="S3" t="str">
        <f>IF(Q3="NOT BAN","",_xlfn.XLOOKUP(A3,'[1]Results export'!$F$2:$F$15,'[1]Results export'!$G$2:$G$15))</f>
        <v>Placed over 20 fake orders</v>
      </c>
      <c r="T3" t="str">
        <f>IF(Q3="NOT BAN","",_xlfn.XLOOKUP(A3,'[1]Results export'!$F$2:$F$15,'[1]Results export'!$H$2:$H$15))</f>
        <v>2031-09-14 10:17:21</v>
      </c>
    </row>
    <row r="4" spans="1:20" x14ac:dyDescent="0.3">
      <c r="A4" s="2">
        <v>44356673</v>
      </c>
      <c r="B4" t="s">
        <v>31</v>
      </c>
      <c r="C4" t="s">
        <v>32</v>
      </c>
      <c r="D4" t="s">
        <v>19</v>
      </c>
      <c r="E4" t="s">
        <v>20</v>
      </c>
      <c r="F4" t="s">
        <v>20</v>
      </c>
      <c r="G4">
        <v>101005</v>
      </c>
      <c r="H4">
        <v>100000</v>
      </c>
      <c r="I4">
        <v>196</v>
      </c>
      <c r="J4">
        <v>0</v>
      </c>
      <c r="K4">
        <v>13</v>
      </c>
      <c r="L4" t="s">
        <v>33</v>
      </c>
      <c r="M4" t="s">
        <v>19</v>
      </c>
      <c r="N4" t="s">
        <v>34</v>
      </c>
      <c r="O4" t="s">
        <v>19</v>
      </c>
      <c r="P4" t="s">
        <v>23</v>
      </c>
      <c r="Q4" t="s">
        <v>24</v>
      </c>
      <c r="R4" s="1">
        <f t="shared" si="0"/>
        <v>0</v>
      </c>
      <c r="S4" t="str">
        <f>IF(Q4="NOT BAN","",_xlfn.XLOOKUP(A4,'[1]Results export'!$F$2:$F$15,'[1]Results export'!$G$2:$G$15))</f>
        <v>Placed over 100 fake orders</v>
      </c>
      <c r="T4" t="str">
        <f>IF(Q4="NOT BAN","",_xlfn.XLOOKUP(A4,'[1]Results export'!$F$2:$F$15,'[1]Results export'!$H$2:$H$15))</f>
        <v>2031-09-10 10:18:57</v>
      </c>
    </row>
    <row r="5" spans="1:20" x14ac:dyDescent="0.3">
      <c r="A5" s="2">
        <v>44493892</v>
      </c>
      <c r="B5" t="s">
        <v>35</v>
      </c>
      <c r="C5" t="s">
        <v>36</v>
      </c>
      <c r="D5" t="s">
        <v>19</v>
      </c>
      <c r="E5" t="s">
        <v>20</v>
      </c>
      <c r="F5" t="s">
        <v>20</v>
      </c>
      <c r="G5">
        <v>101005</v>
      </c>
      <c r="H5">
        <v>100000</v>
      </c>
      <c r="I5">
        <v>104</v>
      </c>
      <c r="J5">
        <v>2</v>
      </c>
      <c r="K5">
        <v>8</v>
      </c>
      <c r="L5" t="s">
        <v>37</v>
      </c>
      <c r="M5" t="s">
        <v>38</v>
      </c>
      <c r="N5" t="s">
        <v>39</v>
      </c>
      <c r="O5" t="s">
        <v>40</v>
      </c>
      <c r="P5" t="s">
        <v>23</v>
      </c>
      <c r="Q5" t="s">
        <v>24</v>
      </c>
      <c r="R5" s="1">
        <f t="shared" si="0"/>
        <v>1.9230769230769232E-2</v>
      </c>
      <c r="S5" t="str">
        <f>IF(Q5="NOT BAN","",_xlfn.XLOOKUP(A5,'[1]Results export'!$F$2:$F$15,'[1]Results export'!$G$2:$G$15))</f>
        <v>Placed more than 20 fake orders</v>
      </c>
      <c r="T5" t="str">
        <f>IF(Q5="NOT BAN","",_xlfn.XLOOKUP(A5,'[1]Results export'!$F$2:$F$15,'[1]Results export'!$H$2:$H$15))</f>
        <v>2031-09-15 16:25:49</v>
      </c>
    </row>
    <row r="6" spans="1:20" x14ac:dyDescent="0.3">
      <c r="A6" s="2">
        <v>44158705</v>
      </c>
      <c r="B6" t="s">
        <v>41</v>
      </c>
      <c r="C6" t="s">
        <v>42</v>
      </c>
      <c r="D6" t="s">
        <v>19</v>
      </c>
      <c r="E6" t="s">
        <v>20</v>
      </c>
      <c r="F6" t="s">
        <v>20</v>
      </c>
      <c r="G6">
        <v>101005</v>
      </c>
      <c r="H6">
        <v>100000</v>
      </c>
      <c r="I6">
        <v>78</v>
      </c>
      <c r="J6">
        <v>0</v>
      </c>
      <c r="K6">
        <v>20</v>
      </c>
      <c r="L6" t="s">
        <v>43</v>
      </c>
      <c r="M6" t="s">
        <v>19</v>
      </c>
      <c r="N6" t="s">
        <v>44</v>
      </c>
      <c r="O6" t="s">
        <v>19</v>
      </c>
      <c r="P6" t="s">
        <v>23</v>
      </c>
      <c r="Q6" t="s">
        <v>24</v>
      </c>
      <c r="R6" s="1">
        <f t="shared" si="0"/>
        <v>0</v>
      </c>
      <c r="S6" t="str">
        <f>IF(Q6="NOT BAN","",_xlfn.XLOOKUP(A6,'[1]Results export'!$F$2:$F$15,'[1]Results export'!$G$2:$G$15))</f>
        <v>Placed over 80 fake orders</v>
      </c>
      <c r="T6" t="str">
        <f>IF(Q6="NOT BAN","",_xlfn.XLOOKUP(A6,'[1]Results export'!$F$2:$F$15,'[1]Results export'!$H$2:$H$15))</f>
        <v>2031-09-03 10:14:37</v>
      </c>
    </row>
    <row r="7" spans="1:20" x14ac:dyDescent="0.3">
      <c r="A7" s="2">
        <v>44186868</v>
      </c>
      <c r="B7" t="s">
        <v>45</v>
      </c>
      <c r="C7" t="s">
        <v>46</v>
      </c>
      <c r="D7" t="s">
        <v>19</v>
      </c>
      <c r="E7" t="s">
        <v>20</v>
      </c>
      <c r="F7" t="s">
        <v>20</v>
      </c>
      <c r="G7">
        <v>101005</v>
      </c>
      <c r="H7">
        <v>100000</v>
      </c>
      <c r="I7">
        <v>65</v>
      </c>
      <c r="J7">
        <v>0</v>
      </c>
      <c r="K7">
        <v>19</v>
      </c>
      <c r="L7" t="s">
        <v>47</v>
      </c>
      <c r="M7" t="s">
        <v>19</v>
      </c>
      <c r="N7" t="s">
        <v>48</v>
      </c>
      <c r="O7" t="s">
        <v>19</v>
      </c>
      <c r="P7" t="s">
        <v>23</v>
      </c>
      <c r="Q7" t="s">
        <v>24</v>
      </c>
      <c r="R7" s="1">
        <f t="shared" si="0"/>
        <v>0</v>
      </c>
      <c r="S7" t="str">
        <f>IF(Q7="NOT BAN","",_xlfn.XLOOKUP(A7,'[1]Results export'!$F$2:$F$15,'[1]Results export'!$G$2:$G$15))</f>
        <v>Placed over 60 fake orders</v>
      </c>
      <c r="T7" t="str">
        <f>IF(Q7="NOT BAN","",_xlfn.XLOOKUP(A7,'[1]Results export'!$F$2:$F$15,'[1]Results export'!$H$2:$H$15))</f>
        <v>2031-09-04 10:16:16</v>
      </c>
    </row>
    <row r="8" spans="1:20" x14ac:dyDescent="0.3">
      <c r="A8" s="2">
        <v>44296581</v>
      </c>
      <c r="B8" t="s">
        <v>49</v>
      </c>
      <c r="C8" t="s">
        <v>50</v>
      </c>
      <c r="D8" t="s">
        <v>19</v>
      </c>
      <c r="E8" t="s">
        <v>20</v>
      </c>
      <c r="F8" t="s">
        <v>20</v>
      </c>
      <c r="G8">
        <v>101005</v>
      </c>
      <c r="H8">
        <v>100000</v>
      </c>
      <c r="I8">
        <v>115</v>
      </c>
      <c r="J8">
        <v>1</v>
      </c>
      <c r="K8">
        <v>16</v>
      </c>
      <c r="L8" t="s">
        <v>51</v>
      </c>
      <c r="M8" t="s">
        <v>52</v>
      </c>
      <c r="N8" t="s">
        <v>53</v>
      </c>
      <c r="O8" t="s">
        <v>54</v>
      </c>
      <c r="P8" t="s">
        <v>23</v>
      </c>
      <c r="Q8" t="s">
        <v>24</v>
      </c>
      <c r="R8" s="1">
        <f t="shared" si="0"/>
        <v>8.6956521739130436E-3</v>
      </c>
      <c r="S8" t="str">
        <f>IF(Q8="NOT BAN","",_xlfn.XLOOKUP(A8,'[1]Results export'!$F$2:$F$15,'[1]Results export'!$G$2:$G$15))</f>
        <v>Placed over 100 fake orders</v>
      </c>
      <c r="T8" t="str">
        <f>IF(Q8="NOT BAN","",_xlfn.XLOOKUP(A8,'[1]Results export'!$F$2:$F$15,'[1]Results export'!$H$2:$H$15))</f>
        <v>2031-09-09 10:30:36</v>
      </c>
    </row>
    <row r="9" spans="1:20" x14ac:dyDescent="0.3">
      <c r="A9" s="2">
        <v>44411915</v>
      </c>
      <c r="B9" t="s">
        <v>55</v>
      </c>
      <c r="C9" t="s">
        <v>56</v>
      </c>
      <c r="D9" t="s">
        <v>19</v>
      </c>
      <c r="E9" t="s">
        <v>20</v>
      </c>
      <c r="F9" t="s">
        <v>20</v>
      </c>
      <c r="G9">
        <v>101005</v>
      </c>
      <c r="H9">
        <v>100000</v>
      </c>
      <c r="I9">
        <v>290</v>
      </c>
      <c r="J9">
        <v>0</v>
      </c>
      <c r="K9">
        <v>11</v>
      </c>
      <c r="L9" t="s">
        <v>57</v>
      </c>
      <c r="M9" t="s">
        <v>19</v>
      </c>
      <c r="N9" t="s">
        <v>58</v>
      </c>
      <c r="O9" t="s">
        <v>19</v>
      </c>
      <c r="P9" t="s">
        <v>23</v>
      </c>
      <c r="Q9" t="s">
        <v>24</v>
      </c>
      <c r="R9" s="1">
        <f t="shared" si="0"/>
        <v>0</v>
      </c>
      <c r="S9" t="str">
        <f>IF(Q9="NOT BAN","",_xlfn.XLOOKUP(A9,'[1]Results export'!$F$2:$F$15,'[1]Results export'!$G$2:$G$15))</f>
        <v>Placed over 200 fake orders</v>
      </c>
      <c r="T9" t="str">
        <f>IF(Q9="NOT BAN","",_xlfn.XLOOKUP(A9,'[1]Results export'!$F$2:$F$15,'[1]Results export'!$H$2:$H$15))</f>
        <v>2031-09-14 10:11:00</v>
      </c>
    </row>
    <row r="10" spans="1:20" x14ac:dyDescent="0.3">
      <c r="A10" s="2">
        <v>44272938</v>
      </c>
      <c r="B10" t="s">
        <v>59</v>
      </c>
      <c r="C10" t="s">
        <v>60</v>
      </c>
      <c r="D10" t="s">
        <v>19</v>
      </c>
      <c r="E10" t="s">
        <v>20</v>
      </c>
      <c r="F10" t="s">
        <v>20</v>
      </c>
      <c r="G10">
        <v>101005</v>
      </c>
      <c r="H10">
        <v>100000</v>
      </c>
      <c r="I10">
        <v>78</v>
      </c>
      <c r="J10">
        <v>1</v>
      </c>
      <c r="K10">
        <v>16</v>
      </c>
      <c r="L10" t="s">
        <v>61</v>
      </c>
      <c r="M10" t="s">
        <v>62</v>
      </c>
      <c r="N10" t="s">
        <v>63</v>
      </c>
      <c r="O10" t="s">
        <v>64</v>
      </c>
      <c r="P10" t="s">
        <v>23</v>
      </c>
      <c r="Q10" t="s">
        <v>24</v>
      </c>
      <c r="R10" s="1">
        <f t="shared" si="0"/>
        <v>1.282051282051282E-2</v>
      </c>
      <c r="S10" t="str">
        <f>IF(Q10="NOT BAN","",_xlfn.XLOOKUP(A10,'[1]Results export'!$F$2:$F$15,'[1]Results export'!$G$2:$G$15))</f>
        <v>Placed over 70 fake orders</v>
      </c>
      <c r="T10" t="str">
        <f>IF(Q10="NOT BAN","",_xlfn.XLOOKUP(A10,'[1]Results export'!$F$2:$F$15,'[1]Results export'!$H$2:$H$15))</f>
        <v>2031-09-07 10:07:20</v>
      </c>
    </row>
    <row r="11" spans="1:20" x14ac:dyDescent="0.3">
      <c r="A11" s="2">
        <v>44102503</v>
      </c>
      <c r="B11" t="s">
        <v>65</v>
      </c>
      <c r="C11" t="s">
        <v>66</v>
      </c>
      <c r="D11" t="s">
        <v>19</v>
      </c>
      <c r="E11" t="s">
        <v>20</v>
      </c>
      <c r="F11" t="s">
        <v>20</v>
      </c>
      <c r="G11">
        <v>101005</v>
      </c>
      <c r="H11">
        <v>100000</v>
      </c>
      <c r="I11">
        <v>86</v>
      </c>
      <c r="J11">
        <v>3</v>
      </c>
      <c r="K11">
        <v>22</v>
      </c>
      <c r="L11" t="s">
        <v>67</v>
      </c>
      <c r="M11" t="s">
        <v>68</v>
      </c>
      <c r="N11" t="s">
        <v>69</v>
      </c>
      <c r="O11" t="s">
        <v>70</v>
      </c>
      <c r="P11" t="s">
        <v>23</v>
      </c>
      <c r="Q11" t="s">
        <v>24</v>
      </c>
      <c r="R11" s="1">
        <f t="shared" si="0"/>
        <v>3.4883720930232558E-2</v>
      </c>
      <c r="S11" t="str">
        <f>IF(Q11="NOT BAN","",_xlfn.XLOOKUP(A11,'[1]Results export'!$F$2:$F$15,'[1]Results export'!$G$2:$G$15))</f>
        <v>Placed over 80 fake orders</v>
      </c>
      <c r="T11" t="str">
        <f>IF(Q11="NOT BAN","",_xlfn.XLOOKUP(A11,'[1]Results export'!$F$2:$F$15,'[1]Results export'!$H$2:$H$15))</f>
        <v>2031-09-03 10:03:06</v>
      </c>
    </row>
    <row r="12" spans="1:20" x14ac:dyDescent="0.3">
      <c r="A12" s="2">
        <v>44216865</v>
      </c>
      <c r="B12" t="s">
        <v>71</v>
      </c>
      <c r="C12" t="s">
        <v>72</v>
      </c>
      <c r="D12" t="s">
        <v>19</v>
      </c>
      <c r="E12" t="s">
        <v>20</v>
      </c>
      <c r="F12" t="s">
        <v>20</v>
      </c>
      <c r="G12">
        <v>101005</v>
      </c>
      <c r="H12">
        <v>100000</v>
      </c>
      <c r="I12">
        <v>112</v>
      </c>
      <c r="J12">
        <v>1</v>
      </c>
      <c r="K12">
        <v>18</v>
      </c>
      <c r="L12" t="s">
        <v>73</v>
      </c>
      <c r="M12" t="s">
        <v>74</v>
      </c>
      <c r="N12" t="s">
        <v>75</v>
      </c>
      <c r="O12" t="s">
        <v>76</v>
      </c>
      <c r="P12" t="s">
        <v>23</v>
      </c>
      <c r="Q12" t="s">
        <v>24</v>
      </c>
      <c r="R12" s="1">
        <f t="shared" si="0"/>
        <v>8.9285714285714281E-3</v>
      </c>
      <c r="S12" t="str">
        <f>IF(Q12="NOT BAN","",_xlfn.XLOOKUP(A12,'[1]Results export'!$F$2:$F$15,'[1]Results export'!$G$2:$G$15))</f>
        <v>Placed over 100 fake orders</v>
      </c>
      <c r="T12" t="str">
        <f>IF(Q12="NOT BAN","",_xlfn.XLOOKUP(A12,'[1]Results export'!$F$2:$F$15,'[1]Results export'!$H$2:$H$15))</f>
        <v>2031-09-06 10:36:34</v>
      </c>
    </row>
    <row r="13" spans="1:20" x14ac:dyDescent="0.3">
      <c r="A13" s="2">
        <v>44650707</v>
      </c>
      <c r="B13" t="s">
        <v>77</v>
      </c>
      <c r="C13" t="s">
        <v>78</v>
      </c>
      <c r="D13" t="s">
        <v>19</v>
      </c>
      <c r="E13" t="s">
        <v>20</v>
      </c>
      <c r="F13" t="s">
        <v>20</v>
      </c>
      <c r="G13">
        <v>101002</v>
      </c>
      <c r="H13">
        <v>100000</v>
      </c>
      <c r="I13">
        <v>43</v>
      </c>
      <c r="J13">
        <v>0</v>
      </c>
      <c r="K13">
        <v>2</v>
      </c>
      <c r="L13" t="s">
        <v>79</v>
      </c>
      <c r="M13" t="s">
        <v>19</v>
      </c>
      <c r="N13" t="s">
        <v>80</v>
      </c>
      <c r="O13" t="s">
        <v>19</v>
      </c>
      <c r="P13" t="s">
        <v>23</v>
      </c>
      <c r="Q13" t="s">
        <v>81</v>
      </c>
      <c r="R13" s="1">
        <f t="shared" si="0"/>
        <v>0</v>
      </c>
      <c r="S13" t="str">
        <f>IF(Q13="NOT BAN","",_xlfn.XLOOKUP(A13,'[1]Results export'!$F$2:$F$15,'[1]Results export'!$G$2:$G$15))</f>
        <v/>
      </c>
      <c r="T13" t="str">
        <f>IF(Q13="NOT BAN","",_xlfn.XLOOKUP(A13,'[1]Results export'!$F$2:$F$15,'[1]Results export'!$H$2:$H$15))</f>
        <v/>
      </c>
    </row>
    <row r="14" spans="1:20" x14ac:dyDescent="0.3">
      <c r="A14" s="2">
        <v>44383919</v>
      </c>
      <c r="B14" t="s">
        <v>82</v>
      </c>
      <c r="C14" t="s">
        <v>83</v>
      </c>
      <c r="D14" t="s">
        <v>19</v>
      </c>
      <c r="E14" t="s">
        <v>20</v>
      </c>
      <c r="F14" t="s">
        <v>20</v>
      </c>
      <c r="G14">
        <v>101005</v>
      </c>
      <c r="H14">
        <v>100000</v>
      </c>
      <c r="I14">
        <v>256</v>
      </c>
      <c r="J14">
        <v>0</v>
      </c>
      <c r="K14">
        <v>12</v>
      </c>
      <c r="L14" t="s">
        <v>84</v>
      </c>
      <c r="M14" t="s">
        <v>19</v>
      </c>
      <c r="N14" t="s">
        <v>85</v>
      </c>
      <c r="O14" t="s">
        <v>19</v>
      </c>
      <c r="P14" t="s">
        <v>23</v>
      </c>
      <c r="Q14" t="s">
        <v>24</v>
      </c>
      <c r="R14" s="1">
        <f t="shared" si="0"/>
        <v>0</v>
      </c>
      <c r="S14" t="str">
        <f>IF(Q14="NOT BAN","",_xlfn.XLOOKUP(A14,'[1]Results export'!$F$2:$F$15,'[1]Results export'!$G$2:$G$15))</f>
        <v>Placed over 200 fake orders</v>
      </c>
      <c r="T14" t="str">
        <f>IF(Q14="NOT BAN","",_xlfn.XLOOKUP(A14,'[1]Results export'!$F$2:$F$15,'[1]Results export'!$H$2:$H$15))</f>
        <v>2031-09-11 10:29:16</v>
      </c>
    </row>
    <row r="15" spans="1:20" x14ac:dyDescent="0.3">
      <c r="A15" s="2">
        <v>44556652</v>
      </c>
      <c r="B15" t="s">
        <v>86</v>
      </c>
      <c r="C15" t="s">
        <v>87</v>
      </c>
      <c r="D15" t="s">
        <v>19</v>
      </c>
      <c r="E15" t="s">
        <v>20</v>
      </c>
      <c r="F15" t="s">
        <v>20</v>
      </c>
      <c r="G15">
        <v>101005</v>
      </c>
      <c r="H15">
        <v>100000</v>
      </c>
      <c r="I15">
        <v>56</v>
      </c>
      <c r="J15">
        <v>0</v>
      </c>
      <c r="K15">
        <v>6</v>
      </c>
      <c r="L15" t="s">
        <v>88</v>
      </c>
      <c r="M15" t="s">
        <v>19</v>
      </c>
      <c r="N15" t="s">
        <v>89</v>
      </c>
      <c r="O15" t="s">
        <v>19</v>
      </c>
      <c r="P15" t="s">
        <v>23</v>
      </c>
      <c r="Q15" t="s">
        <v>24</v>
      </c>
      <c r="R15" s="1">
        <f t="shared" si="0"/>
        <v>0</v>
      </c>
      <c r="S15" t="str">
        <f>IF(Q15="NOT BAN","",_xlfn.XLOOKUP(A15,'[1]Results export'!$F$2:$F$15,'[1]Results export'!$G$2:$G$15))</f>
        <v>Placed more than 20 fake orders</v>
      </c>
      <c r="T15" t="str">
        <f>IF(Q15="NOT BAN","",_xlfn.XLOOKUP(A15,'[1]Results export'!$F$2:$F$15,'[1]Results export'!$H$2:$H$15))</f>
        <v>2031-09-17 15:28:30</v>
      </c>
    </row>
    <row r="16" spans="1:20" x14ac:dyDescent="0.3">
      <c r="A16" s="2">
        <v>8200826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>
        <v>101001</v>
      </c>
      <c r="H16">
        <v>100000</v>
      </c>
      <c r="I16">
        <v>4118</v>
      </c>
      <c r="J16">
        <v>816</v>
      </c>
      <c r="K16">
        <v>2337</v>
      </c>
      <c r="L16" t="s">
        <v>95</v>
      </c>
      <c r="M16" t="s">
        <v>96</v>
      </c>
      <c r="N16" t="s">
        <v>97</v>
      </c>
      <c r="O16" t="s">
        <v>98</v>
      </c>
      <c r="P16" t="s">
        <v>99</v>
      </c>
      <c r="Q16" t="s">
        <v>81</v>
      </c>
      <c r="R16" s="1">
        <f t="shared" si="0"/>
        <v>0.19815444390480816</v>
      </c>
      <c r="S16" t="str">
        <f>IF(Q16="NOT BAN","",_xlfn.XLOOKUP(A16,'[1]Results export'!$F$2:$F$15,'[1]Results export'!$G$2:$G$15))</f>
        <v/>
      </c>
      <c r="T16" t="str">
        <f>IF(Q16="NOT BAN","",_xlfn.XLOOKUP(A16,'[1]Results export'!$F$2:$F$15,'[1]Results export'!$H$2:$H$15))</f>
        <v/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2026-09-24T02:01:43Z</dcterms:created>
  <dcterms:modified xsi:type="dcterms:W3CDTF">2026-09-25T07:39:39Z</dcterms:modified>
</cp:coreProperties>
</file>