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7C210539-21B2-48E6-B69B-4D9A7A77D6FF}" xr6:coauthVersionLast="47" xr6:coauthVersionMax="47" xr10:uidLastSave="{00000000-0000-0000-0000-000000000000}"/>
  <bookViews>
    <workbookView xWindow="-108" yWindow="-108" windowWidth="23256" windowHeight="12456" tabRatio="737" activeTab="4" xr2:uid="{00000000-000D-0000-FFFF-FFFF00000000}"/>
  </bookViews>
  <sheets>
    <sheet name="user-summary (July_Aug2026)" sheetId="1" r:id="rId1"/>
    <sheet name="account_info" sheetId="5" r:id="rId2"/>
    <sheet name="user-summary(July2026)" sheetId="3" r:id="rId3"/>
    <sheet name="user-summary(Aug2026)" sheetId="4" r:id="rId4"/>
    <sheet name="linkage" sheetId="2" r:id="rId5"/>
  </sheets>
  <externalReferences>
    <externalReference r:id="rId6"/>
    <externalReference r:id="rId7"/>
  </externalReferences>
  <definedNames>
    <definedName name="_xlnm._FilterDatabase" localSheetId="1" hidden="1">account_info!$A$1:$G$42</definedName>
    <definedName name="_xlnm._FilterDatabase" localSheetId="4" hidden="1">linkage!$A$1:$H$52</definedName>
    <definedName name="_xlnm._FilterDatabase" localSheetId="0" hidden="1">'user-summary (July_Aug2026)'!$A$1:$O$42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" l="1"/>
  <c r="G8" i="5"/>
  <c r="G12" i="5"/>
  <c r="G36" i="5"/>
  <c r="G14" i="5"/>
  <c r="G22" i="5"/>
  <c r="G34" i="5"/>
  <c r="G37" i="5"/>
  <c r="G38" i="5"/>
  <c r="G26" i="5"/>
  <c r="G7" i="5"/>
  <c r="G21" i="5"/>
  <c r="G42" i="5"/>
  <c r="G28" i="5"/>
  <c r="G15" i="5"/>
  <c r="G41" i="5"/>
  <c r="G5" i="5"/>
  <c r="G23" i="5"/>
  <c r="G31" i="5"/>
  <c r="G6" i="5"/>
  <c r="G18" i="5"/>
  <c r="G32" i="5"/>
  <c r="G33" i="5"/>
  <c r="G13" i="5"/>
  <c r="G19" i="5"/>
  <c r="G17" i="5"/>
  <c r="G20" i="5"/>
  <c r="G11" i="5"/>
  <c r="G25" i="5"/>
  <c r="G39" i="5"/>
  <c r="G4" i="5"/>
  <c r="G16" i="5"/>
  <c r="G2" i="5"/>
  <c r="G40" i="5"/>
  <c r="G29" i="5"/>
  <c r="G30" i="5"/>
  <c r="G35" i="5"/>
  <c r="G10" i="5"/>
  <c r="G3" i="5"/>
  <c r="G24" i="5"/>
  <c r="G27" i="5"/>
  <c r="E3" i="5"/>
  <c r="E4" i="5"/>
  <c r="E5" i="5"/>
  <c r="E6" i="5"/>
  <c r="E7" i="5"/>
  <c r="E9" i="5"/>
  <c r="E11" i="5"/>
  <c r="E12" i="5"/>
  <c r="E13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2" i="5"/>
  <c r="D3" i="5"/>
  <c r="D4" i="5"/>
  <c r="D5" i="5"/>
  <c r="D6" i="5"/>
  <c r="D7" i="5"/>
  <c r="D9" i="5"/>
  <c r="D11" i="5"/>
  <c r="D12" i="5"/>
  <c r="D13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2" i="5"/>
  <c r="H5" i="2" l="1"/>
  <c r="H6" i="2" s="1"/>
  <c r="G5" i="2"/>
  <c r="G6" i="2" s="1"/>
  <c r="F5" i="2"/>
</calcChain>
</file>

<file path=xl/sharedStrings.xml><?xml version="1.0" encoding="utf-8"?>
<sst xmlns="http://schemas.openxmlformats.org/spreadsheetml/2006/main" count="493" uniqueCount="134">
  <si>
    <t>user_id</t>
  </si>
  <si>
    <t>First Order</t>
  </si>
  <si>
    <t>0s - &lt;30s</t>
  </si>
  <si>
    <t>30s - &lt;1m</t>
  </si>
  <si>
    <t>1m - &lt;5m</t>
  </si>
  <si>
    <t>5m - &lt;30m</t>
  </si>
  <si>
    <t>&gt;= 30m</t>
  </si>
  <si>
    <t>Total</t>
  </si>
  <si>
    <t>0s - &lt;30s (&gt;50%)</t>
  </si>
  <si>
    <t>Rolling 1h Flags</t>
  </si>
  <si>
    <t>Lifetime Create Cnt</t>
  </si>
  <si>
    <t>Lifetime Complete Cnt</t>
  </si>
  <si>
    <t>Lifetime Cancel Cnt</t>
  </si>
  <si>
    <t>Completion Rate</t>
  </si>
  <si>
    <t>Cancellation Rate</t>
  </si>
  <si>
    <t>51.35%</t>
  </si>
  <si>
    <t>2.7%</t>
  </si>
  <si>
    <t>21.62%</t>
  </si>
  <si>
    <t>74.78%</t>
  </si>
  <si>
    <t>0.0%</t>
  </si>
  <si>
    <t>9.57%</t>
  </si>
  <si>
    <t>70.23%</t>
  </si>
  <si>
    <t>14.5%</t>
  </si>
  <si>
    <t>62.75%</t>
  </si>
  <si>
    <t>26.96%</t>
  </si>
  <si>
    <t>82.79%</t>
  </si>
  <si>
    <t>13.49%</t>
  </si>
  <si>
    <t>84.62%</t>
  </si>
  <si>
    <t>3.85%</t>
  </si>
  <si>
    <t>52.17%</t>
  </si>
  <si>
    <t>26.09%</t>
  </si>
  <si>
    <t>95.92%</t>
  </si>
  <si>
    <t>8.16%</t>
  </si>
  <si>
    <t>54.41%</t>
  </si>
  <si>
    <t>51.47%</t>
  </si>
  <si>
    <t>76.92%</t>
  </si>
  <si>
    <t>7.69%</t>
  </si>
  <si>
    <t>85.27%</t>
  </si>
  <si>
    <t>15.01%</t>
  </si>
  <si>
    <t>91.67%</t>
  </si>
  <si>
    <t>47.37%</t>
  </si>
  <si>
    <t>56.41%</t>
  </si>
  <si>
    <t>1.54%</t>
  </si>
  <si>
    <t>10.26%</t>
  </si>
  <si>
    <t>83.08%</t>
  </si>
  <si>
    <t>0.5%</t>
  </si>
  <si>
    <t>7.46%</t>
  </si>
  <si>
    <t>75.51%</t>
  </si>
  <si>
    <t>0.51%</t>
  </si>
  <si>
    <t>12.76%</t>
  </si>
  <si>
    <t>77.27%</t>
  </si>
  <si>
    <t>1.52%</t>
  </si>
  <si>
    <t>9.09%</t>
  </si>
  <si>
    <t>75.13%</t>
  </si>
  <si>
    <t>8.63%</t>
  </si>
  <si>
    <t>69.09%</t>
  </si>
  <si>
    <t>0.61%</t>
  </si>
  <si>
    <t>21.21%</t>
  </si>
  <si>
    <t>54.48%</t>
  </si>
  <si>
    <t>0.75%</t>
  </si>
  <si>
    <t>17.91%</t>
  </si>
  <si>
    <t>72.27%</t>
  </si>
  <si>
    <t>0.84%</t>
  </si>
  <si>
    <t>15.13%</t>
  </si>
  <si>
    <t>65.81%</t>
  </si>
  <si>
    <t>16.13%</t>
  </si>
  <si>
    <t>63.69%</t>
  </si>
  <si>
    <t>0.6%</t>
  </si>
  <si>
    <t>8.93%</t>
  </si>
  <si>
    <t>51.74%</t>
  </si>
  <si>
    <t>70.0%</t>
  </si>
  <si>
    <t>41.54%</t>
  </si>
  <si>
    <t>66.17%</t>
  </si>
  <si>
    <t>22.56%</t>
  </si>
  <si>
    <t>62.38%</t>
  </si>
  <si>
    <t>5.94%</t>
  </si>
  <si>
    <t>80.16%</t>
  </si>
  <si>
    <t>12.7%</t>
  </si>
  <si>
    <t>76.25%</t>
  </si>
  <si>
    <t>10.0%</t>
  </si>
  <si>
    <t>73.85%</t>
  </si>
  <si>
    <t>3.08%</t>
  </si>
  <si>
    <t>70.75%</t>
  </si>
  <si>
    <t>5.66%</t>
  </si>
  <si>
    <t>78.57%</t>
  </si>
  <si>
    <t>7.86%</t>
  </si>
  <si>
    <t>76.43%</t>
  </si>
  <si>
    <t>0.71%</t>
  </si>
  <si>
    <t>77.6%</t>
  </si>
  <si>
    <t>6.4%</t>
  </si>
  <si>
    <t>72.34%</t>
  </si>
  <si>
    <t>1.06%</t>
  </si>
  <si>
    <t>12.77%</t>
  </si>
  <si>
    <t>83.17%</t>
  </si>
  <si>
    <t>0.99%</t>
  </si>
  <si>
    <t>81.25%</t>
  </si>
  <si>
    <t>0.69%</t>
  </si>
  <si>
    <t>6.94%</t>
  </si>
  <si>
    <t>71.9%</t>
  </si>
  <si>
    <t>0.83%</t>
  </si>
  <si>
    <t>3.31%</t>
  </si>
  <si>
    <t>76.19%</t>
  </si>
  <si>
    <t>6.35%</t>
  </si>
  <si>
    <t>71.82%</t>
  </si>
  <si>
    <t>4.55%</t>
  </si>
  <si>
    <t>74.71%</t>
  </si>
  <si>
    <t>13.79%</t>
  </si>
  <si>
    <t>60.19%</t>
  </si>
  <si>
    <t>4.85%</t>
  </si>
  <si>
    <t>linked_entity_id</t>
  </si>
  <si>
    <t>linked_entity_type</t>
  </si>
  <si>
    <t>linked_entity_banned_status</t>
  </si>
  <si>
    <t>User</t>
  </si>
  <si>
    <t>Active / Normal</t>
  </si>
  <si>
    <t>Driver</t>
  </si>
  <si>
    <t>Fully Banned</t>
  </si>
  <si>
    <t>Count</t>
  </si>
  <si>
    <t>19.83%</t>
  </si>
  <si>
    <t>49.81%</t>
  </si>
  <si>
    <t>register_time</t>
  </si>
  <si>
    <t>ban_status</t>
  </si>
  <si>
    <t>NOT BAN</t>
  </si>
  <si>
    <t>BANNED</t>
  </si>
  <si>
    <t>ban_reason</t>
  </si>
  <si>
    <t>ban_datetime</t>
  </si>
  <si>
    <t>FTU đặt hơn 23 đơn hàng, địa chỉ không cụ thể, các TX đều không liên hệ được</t>
  </si>
  <si>
    <t>FTU đặt hơn 60 đơn hàng, địa chỉ không cụ thể, các TX đều không liên hệ được</t>
  </si>
  <si>
    <t>3538384917878756304 đơn phá</t>
  </si>
  <si>
    <t>3539101478889410627 - FAKE ORDER</t>
  </si>
  <si>
    <t>is_corp</t>
  </si>
  <si>
    <t>No</t>
  </si>
  <si>
    <t>Corp</t>
  </si>
  <si>
    <t>lifetime_completion_rate</t>
  </si>
  <si>
    <t>target_user_id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</si>
</sst>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9" fontId="0" fillId="0" borderId="0" xfId="2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22" fontId="3" fillId="0" borderId="1" xfId="0" applyNumberFormat="1" applyFont="1" applyBorder="1"/>
    <xf numFmtId="164" fontId="0" fillId="0" borderId="0" xfId="0" applyNumberFormat="1"/>
    <xf numFmtId="10" fontId="0" fillId="0" borderId="0" xfId="3" applyNumberFormat="1" applyFont="1"/>
  </cellXfs>
  <cellStyles count="4">
    <cellStyle name="Normal" xfId="0" builtinId="0"/>
    <cellStyle name="Normal 2" xfId="1" xr:uid="{C269E39C-30EE-4724-A890-6E0172D544BA}"/>
    <cellStyle name="Percent" xfId="3" builtinId="5"/>
    <cellStyle name="Percent 2" xfId="2" xr:uid="{370C1C47-7B54-4911-9F66-BE60333CAA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i.kc\Desktop\Adhoc\03%20Sept%202026\data\user_ban_info\result_20260924_105553(41%20simulated%20account%20July-Aug).xlsx" TargetMode="External"/><Relationship Id="rId1" Type="http://schemas.openxmlformats.org/officeDocument/2006/relationships/externalLinkPath" Target="user_ban_info/result_20260924_105553(41%20simulated%20account%20July-Aug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result_20260925_110151(41%20account%20corp%20info).xlsx" TargetMode="External"/><Relationship Id="rId2" Type="http://schemas.openxmlformats.org/officeDocument/2006/relationships/externalLinkPath" Target="file:///C:\Users\wei.kc\Downloads\result_20260925_110151(41%20account%20corp%20info).xlsx" TargetMode="External"/><Relationship Id="rId1" Type="http://schemas.openxmlformats.org/officeDocument/2006/relationships/externalLinkPath" Target="/Users/wei.kc/Downloads/result_20260925_110151(41%20account%20corp%20inf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 export"/>
    </sheetNames>
    <sheetDataSet>
      <sheetData sheetId="0">
        <row r="2">
          <cell r="C2" t="str">
            <v>2026-08-06 10:06:49</v>
          </cell>
          <cell r="F2" t="str">
            <v>43374604</v>
          </cell>
          <cell r="G2" t="str">
            <v>FTU đặt hơn 40 đơn phá</v>
          </cell>
        </row>
        <row r="3">
          <cell r="C3" t="str">
            <v>2026-08-25 09:35:57</v>
          </cell>
          <cell r="F3" t="str">
            <v>43891958</v>
          </cell>
          <cell r="G3" t="str">
            <v>disruptive user, more than 20 fake orders</v>
          </cell>
        </row>
        <row r="4">
          <cell r="C4" t="str">
            <v>2026-08-24 10:23:29</v>
          </cell>
          <cell r="F4" t="str">
            <v>43862968</v>
          </cell>
          <cell r="G4" t="str">
            <v>disruptive user, more than 20 fake orders</v>
          </cell>
        </row>
        <row r="5">
          <cell r="C5" t="str">
            <v>2026-07-22 10:24:05</v>
          </cell>
          <cell r="F5" t="str">
            <v>42459099</v>
          </cell>
          <cell r="G5" t="str">
            <v>Fake order - Đặt 49 đơn liên tục, địa chỉ ko chính xác, tài xế không liên hệ được</v>
          </cell>
        </row>
        <row r="6">
          <cell r="C6" t="str">
            <v>2026-07-22 12:09:47</v>
          </cell>
          <cell r="F6" t="str">
            <v>42426641</v>
          </cell>
          <cell r="G6" t="str">
            <v>Fake orders - FTU đặt hơn 200 đơn hàng, địa chỉ không cụ thể, các TX đều không liên hệ được</v>
          </cell>
        </row>
        <row r="7">
          <cell r="C7" t="str">
            <v>2026-07-22 12:10:28</v>
          </cell>
          <cell r="F7" t="str">
            <v>42406507</v>
          </cell>
          <cell r="G7" t="str">
            <v>Fake orders - FTU đặt hơn 200 đơn hàng, địa chỉ không cụ thể, các TX đều không liên hệ được</v>
          </cell>
        </row>
        <row r="8">
          <cell r="C8" t="str">
            <v>2026-07-23 11:30:19</v>
          </cell>
          <cell r="F8" t="str">
            <v>42971568</v>
          </cell>
          <cell r="G8" t="str">
            <v>FTU đặt hơn 100 đơn phá, các TX đến nơi không liên hệ được</v>
          </cell>
        </row>
        <row r="9">
          <cell r="C9" t="str">
            <v>2026-07-24 10:24:04</v>
          </cell>
          <cell r="F9" t="str">
            <v>42997602</v>
          </cell>
          <cell r="G9" t="str">
            <v>FTU đặt hơn 200 đơn hàng, địa chỉ không cụ thể, các TX đều không liên hệ được</v>
          </cell>
        </row>
        <row r="10">
          <cell r="C10" t="str">
            <v>2026-08-15 10:07:41</v>
          </cell>
          <cell r="F10" t="str">
            <v>43614456</v>
          </cell>
          <cell r="G10" t="str">
            <v>FTU placed over 100 disruptive order</v>
          </cell>
        </row>
        <row r="11">
          <cell r="C11" t="str">
            <v>2026-08-17 08:56:06</v>
          </cell>
          <cell r="F11" t="str">
            <v>43674483</v>
          </cell>
          <cell r="G11" t="str">
            <v>disruptive user, more than 20 fake orders</v>
          </cell>
        </row>
        <row r="12">
          <cell r="C12" t="str">
            <v>2026-08-10 10:29:23</v>
          </cell>
          <cell r="F12" t="str">
            <v>43430885</v>
          </cell>
          <cell r="G12" t="str">
            <v>FTU placed over 100 disruptive orders</v>
          </cell>
        </row>
        <row r="13">
          <cell r="C13" t="str">
            <v>2026-08-01 10:01:46</v>
          </cell>
          <cell r="F13" t="str">
            <v>43230061</v>
          </cell>
          <cell r="G13" t="str">
            <v>FTU đặt hơn 100 đơn phá</v>
          </cell>
        </row>
        <row r="14">
          <cell r="C14" t="str">
            <v>2026-08-04 10:10:58</v>
          </cell>
          <cell r="F14" t="str">
            <v>43319297</v>
          </cell>
          <cell r="G14" t="str">
            <v>FTU đặt hơn 100 đơn phá</v>
          </cell>
        </row>
        <row r="15">
          <cell r="C15" t="str">
            <v>2026-07-30 10:00:09</v>
          </cell>
          <cell r="F15" t="str">
            <v>43166702</v>
          </cell>
          <cell r="G15" t="str">
            <v>Disruptive user, TX Phạm Minh Truyền 2852976 báo cáo Kh 43166702 đặt phá</v>
          </cell>
        </row>
        <row r="16">
          <cell r="C16" t="str">
            <v>2026-07-27 10:39:43</v>
          </cell>
          <cell r="F16" t="str">
            <v>43022614</v>
          </cell>
          <cell r="G16" t="str">
            <v>User đặt hơn 160 đơn phá, các TX đều không liên hệ được</v>
          </cell>
        </row>
        <row r="17">
          <cell r="C17" t="str">
            <v>2026-08-28 10:10:00</v>
          </cell>
          <cell r="F17" t="str">
            <v>43978801</v>
          </cell>
          <cell r="G17" t="str">
            <v>Placed more than 80 fake orders</v>
          </cell>
        </row>
        <row r="18">
          <cell r="C18" t="str">
            <v>2026-08-03 10:24:03</v>
          </cell>
          <cell r="F18" t="str">
            <v>43290314</v>
          </cell>
          <cell r="G18" t="str">
            <v>FTU đặt hơn 100 đơn phá. Offensive user's name</v>
          </cell>
        </row>
        <row r="19">
          <cell r="C19" t="str">
            <v>2026-07-22 10:10:28</v>
          </cell>
          <cell r="F19" t="str">
            <v>42463024</v>
          </cell>
          <cell r="G19" t="str">
            <v>Fake orders. Đặt 61 đơn trong 3 ngày, không liên hệ được</v>
          </cell>
        </row>
        <row r="20">
          <cell r="C20" t="str">
            <v>2026-07-22 10:25:04</v>
          </cell>
          <cell r="F20" t="str">
            <v>42913719</v>
          </cell>
          <cell r="G20" t="str">
            <v>Fake order - Corp đặt 200 đơn phá, các TX đều ko liên hệ được</v>
          </cell>
        </row>
        <row r="21">
          <cell r="C21" t="str">
            <v>2026-08-12 10:27:38</v>
          </cell>
          <cell r="F21" t="str">
            <v>43539274</v>
          </cell>
          <cell r="G21" t="str">
            <v>FTU placed over 100 disruptive order</v>
          </cell>
        </row>
        <row r="22">
          <cell r="C22" t="str">
            <v>2026-07-29 09:27:17</v>
          </cell>
          <cell r="F22" t="str">
            <v>43138108</v>
          </cell>
          <cell r="G22" t="str">
            <v>disruptive user, TX Phạm Minh Truyền 2852976 báo cáo Kh 43138108 đặt phá đơn</v>
          </cell>
        </row>
        <row r="23">
          <cell r="C23" t="str">
            <v>2026-08-26 10:16:44</v>
          </cell>
          <cell r="F23" t="str">
            <v>43920615</v>
          </cell>
          <cell r="G23" t="str">
            <v>Placed more than 100 fake orders</v>
          </cell>
        </row>
        <row r="24">
          <cell r="C24" t="str">
            <v>2026-08-05 10:13:34</v>
          </cell>
          <cell r="F24" t="str">
            <v>43346700</v>
          </cell>
          <cell r="G24" t="str">
            <v>User đặt hơn 100 đơn phá</v>
          </cell>
        </row>
        <row r="25">
          <cell r="C25" t="str">
            <v>2026-08-27 11:18:17</v>
          </cell>
          <cell r="F25" t="str">
            <v>43949404</v>
          </cell>
          <cell r="G25" t="str">
            <v>Placed over 100 fake orders</v>
          </cell>
        </row>
        <row r="26">
          <cell r="C26" t="str">
            <v>2026-08-13 10:16:23</v>
          </cell>
          <cell r="F26" t="str">
            <v>43566043</v>
          </cell>
          <cell r="G26" t="str">
            <v>FTU placed over 100 disruptive order</v>
          </cell>
        </row>
        <row r="27">
          <cell r="C27" t="str">
            <v>2026-07-28 09:56:11</v>
          </cell>
          <cell r="F27" t="str">
            <v>43110506</v>
          </cell>
          <cell r="G27" t="str">
            <v>disruptive user</v>
          </cell>
        </row>
        <row r="28">
          <cell r="C28" t="str">
            <v>2026-08-07 10:35:45</v>
          </cell>
          <cell r="F28" t="str">
            <v>43402439</v>
          </cell>
          <cell r="G28" t="str">
            <v>FTU placed over 100 disruptive orders</v>
          </cell>
        </row>
        <row r="29">
          <cell r="C29" t="str">
            <v>2026-08-31 10:06:07</v>
          </cell>
          <cell r="F29" t="str">
            <v>44010401</v>
          </cell>
          <cell r="G29" t="str">
            <v>Placed over 100 fake orders</v>
          </cell>
        </row>
        <row r="30">
          <cell r="C30" t="str">
            <v>2026-07-27 09:06:11</v>
          </cell>
          <cell r="F30" t="str">
            <v>43081554</v>
          </cell>
          <cell r="G30" t="str">
            <v>disruptive user, more than 20 fake orders</v>
          </cell>
        </row>
        <row r="31">
          <cell r="C31" t="str">
            <v>2026-07-07 16:34:11</v>
          </cell>
          <cell r="F31" t="str">
            <v>42463063</v>
          </cell>
          <cell r="G31" t="str">
            <v>Disruptive user, banning and tagging under Platform Ops and MD approve</v>
          </cell>
        </row>
        <row r="32">
          <cell r="C32" t="str">
            <v>2026-07-22 11:54:58</v>
          </cell>
          <cell r="F32" t="str">
            <v>42426592</v>
          </cell>
          <cell r="G32" t="str">
            <v>Fake order - FTU đặt hơn 200 đơn hàng, địa chỉ không cụ thể, các TX đều không liên hệ được</v>
          </cell>
        </row>
        <row r="33">
          <cell r="C33" t="str">
            <v>2026-08-14 09:43:19</v>
          </cell>
          <cell r="F33" t="str">
            <v>43593087</v>
          </cell>
          <cell r="G33" t="str">
            <v>disruptive user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s export"/>
    </sheetNames>
    <sheetDataSet>
      <sheetData sheetId="0">
        <row r="2">
          <cell r="A2">
            <v>43319297</v>
          </cell>
          <cell r="R2">
            <v>0</v>
          </cell>
        </row>
        <row r="3">
          <cell r="A3">
            <v>42459099</v>
          </cell>
          <cell r="R3">
            <v>0</v>
          </cell>
        </row>
        <row r="4">
          <cell r="A4">
            <v>42459041</v>
          </cell>
          <cell r="R4">
            <v>0</v>
          </cell>
        </row>
        <row r="5">
          <cell r="A5">
            <v>42463024</v>
          </cell>
          <cell r="R5">
            <v>0</v>
          </cell>
        </row>
        <row r="6">
          <cell r="A6">
            <v>43674483</v>
          </cell>
          <cell r="R6">
            <v>9.9009900990099011E-3</v>
          </cell>
        </row>
        <row r="7">
          <cell r="A7">
            <v>42705635</v>
          </cell>
          <cell r="R7">
            <v>1.5384615384615385E-2</v>
          </cell>
        </row>
        <row r="8">
          <cell r="A8">
            <v>43138108</v>
          </cell>
          <cell r="R8">
            <v>0</v>
          </cell>
        </row>
        <row r="9">
          <cell r="A9">
            <v>43593087</v>
          </cell>
          <cell r="R9">
            <v>0</v>
          </cell>
        </row>
        <row r="10">
          <cell r="A10">
            <v>43862968</v>
          </cell>
          <cell r="R10">
            <v>6.9444444444444441E-3</v>
          </cell>
        </row>
        <row r="11">
          <cell r="A11">
            <v>43891958</v>
          </cell>
          <cell r="R11">
            <v>8.2644628099173556E-3</v>
          </cell>
        </row>
        <row r="12">
          <cell r="A12">
            <v>43290314</v>
          </cell>
          <cell r="R12">
            <v>7.5187969924812026E-3</v>
          </cell>
        </row>
        <row r="13">
          <cell r="A13">
            <v>42458992</v>
          </cell>
          <cell r="R13">
            <v>0</v>
          </cell>
        </row>
        <row r="14">
          <cell r="A14">
            <v>43110506</v>
          </cell>
          <cell r="R14">
            <v>8.4033613445378148E-3</v>
          </cell>
        </row>
        <row r="15">
          <cell r="A15">
            <v>44010401</v>
          </cell>
          <cell r="R15">
            <v>0</v>
          </cell>
        </row>
        <row r="16">
          <cell r="A16">
            <v>43346700</v>
          </cell>
          <cell r="R16">
            <v>0</v>
          </cell>
        </row>
        <row r="17">
          <cell r="A17">
            <v>42731028</v>
          </cell>
          <cell r="R17">
            <v>4.9751243781094526E-3</v>
          </cell>
        </row>
        <row r="18">
          <cell r="A18">
            <v>43978801</v>
          </cell>
          <cell r="R18">
            <v>0</v>
          </cell>
        </row>
        <row r="19">
          <cell r="A19">
            <v>42426592</v>
          </cell>
          <cell r="R19">
            <v>0</v>
          </cell>
        </row>
        <row r="20">
          <cell r="A20">
            <v>43166702</v>
          </cell>
          <cell r="R20">
            <v>5.9523809523809521E-3</v>
          </cell>
        </row>
        <row r="21">
          <cell r="A21">
            <v>43430885</v>
          </cell>
          <cell r="R21">
            <v>0</v>
          </cell>
        </row>
        <row r="22">
          <cell r="A22">
            <v>42426641</v>
          </cell>
          <cell r="R22">
            <v>0</v>
          </cell>
        </row>
        <row r="23">
          <cell r="A23">
            <v>42997602</v>
          </cell>
          <cell r="R23">
            <v>5.076142131979695E-3</v>
          </cell>
        </row>
        <row r="24">
          <cell r="A24">
            <v>43539274</v>
          </cell>
          <cell r="R24">
            <v>0</v>
          </cell>
        </row>
        <row r="25">
          <cell r="A25">
            <v>43566043</v>
          </cell>
          <cell r="R25">
            <v>7.1428571428571426E-3</v>
          </cell>
        </row>
        <row r="26">
          <cell r="A26">
            <v>42463063</v>
          </cell>
          <cell r="R26">
            <v>0</v>
          </cell>
        </row>
        <row r="27">
          <cell r="A27">
            <v>43022614</v>
          </cell>
          <cell r="R27">
            <v>6.0606060606060606E-3</v>
          </cell>
        </row>
        <row r="28">
          <cell r="A28">
            <v>42971568</v>
          </cell>
          <cell r="R28">
            <v>1.5151515151515152E-2</v>
          </cell>
        </row>
        <row r="29">
          <cell r="A29">
            <v>43081554</v>
          </cell>
          <cell r="R29">
            <v>7.462686567164179E-3</v>
          </cell>
        </row>
        <row r="30">
          <cell r="A30">
            <v>42459298</v>
          </cell>
          <cell r="R30">
            <v>0</v>
          </cell>
        </row>
        <row r="31">
          <cell r="A31">
            <v>43230061</v>
          </cell>
          <cell r="R31">
            <v>0</v>
          </cell>
        </row>
        <row r="32">
          <cell r="A32">
            <v>43920615</v>
          </cell>
          <cell r="R32">
            <v>0</v>
          </cell>
        </row>
        <row r="33">
          <cell r="A33">
            <v>42406507</v>
          </cell>
          <cell r="R33">
            <v>0</v>
          </cell>
        </row>
        <row r="34">
          <cell r="A34">
            <v>42913719</v>
          </cell>
          <cell r="R34">
            <v>5.1020408163265302E-3</v>
          </cell>
        </row>
        <row r="35">
          <cell r="A35">
            <v>42372845</v>
          </cell>
          <cell r="R35">
            <v>2.7027027027027029E-2</v>
          </cell>
        </row>
        <row r="36">
          <cell r="A36">
            <v>43949404</v>
          </cell>
          <cell r="R36">
            <v>0</v>
          </cell>
        </row>
        <row r="37">
          <cell r="A37">
            <v>43374604</v>
          </cell>
          <cell r="R37">
            <v>0</v>
          </cell>
        </row>
        <row r="38">
          <cell r="A38">
            <v>43402439</v>
          </cell>
          <cell r="R38">
            <v>3.8461538461538464E-2</v>
          </cell>
        </row>
        <row r="39">
          <cell r="A39">
            <v>43614456</v>
          </cell>
          <cell r="R39">
            <v>1.0638297872340425E-2</v>
          </cell>
        </row>
        <row r="40">
          <cell r="A40">
            <v>42459241</v>
          </cell>
          <cell r="R40">
            <v>0</v>
          </cell>
        </row>
        <row r="41">
          <cell r="A41">
            <v>42381392</v>
          </cell>
          <cell r="R41">
            <v>0</v>
          </cell>
        </row>
        <row r="42">
          <cell r="A42">
            <v>8200826</v>
          </cell>
          <cell r="R42">
            <v>0.19748610103940054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workbookViewId="0">
      <selection activeCell="A24" sqref="A24:XFD24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42372845</v>
      </c>
      <c r="B2">
        <v>1</v>
      </c>
      <c r="C2">
        <v>19</v>
      </c>
      <c r="D2">
        <v>10</v>
      </c>
      <c r="E2">
        <v>7</v>
      </c>
      <c r="F2">
        <v>0</v>
      </c>
      <c r="G2">
        <v>0</v>
      </c>
      <c r="H2">
        <v>37</v>
      </c>
      <c r="I2" t="s">
        <v>15</v>
      </c>
      <c r="J2">
        <v>14</v>
      </c>
      <c r="K2">
        <v>37</v>
      </c>
      <c r="L2">
        <v>1</v>
      </c>
      <c r="M2">
        <v>8</v>
      </c>
      <c r="N2" t="s">
        <v>16</v>
      </c>
      <c r="O2" t="s">
        <v>17</v>
      </c>
    </row>
    <row r="3" spans="1:15" x14ac:dyDescent="0.3">
      <c r="A3">
        <v>42381392</v>
      </c>
      <c r="B3">
        <v>1</v>
      </c>
      <c r="C3">
        <v>86</v>
      </c>
      <c r="D3">
        <v>21</v>
      </c>
      <c r="E3">
        <v>6</v>
      </c>
      <c r="F3">
        <v>0</v>
      </c>
      <c r="G3">
        <v>1</v>
      </c>
      <c r="H3">
        <v>115</v>
      </c>
      <c r="I3" t="s">
        <v>18</v>
      </c>
      <c r="J3">
        <v>58</v>
      </c>
      <c r="K3">
        <v>115</v>
      </c>
      <c r="L3">
        <v>0</v>
      </c>
      <c r="M3">
        <v>11</v>
      </c>
      <c r="N3" t="s">
        <v>19</v>
      </c>
      <c r="O3" t="s">
        <v>20</v>
      </c>
    </row>
    <row r="4" spans="1:15" x14ac:dyDescent="0.3">
      <c r="A4">
        <v>42406507</v>
      </c>
      <c r="B4">
        <v>1</v>
      </c>
      <c r="C4">
        <v>184</v>
      </c>
      <c r="D4">
        <v>46</v>
      </c>
      <c r="E4">
        <v>27</v>
      </c>
      <c r="F4">
        <v>1</v>
      </c>
      <c r="G4">
        <v>3</v>
      </c>
      <c r="H4">
        <v>262</v>
      </c>
      <c r="I4" t="s">
        <v>21</v>
      </c>
      <c r="J4">
        <v>66</v>
      </c>
      <c r="K4">
        <v>262</v>
      </c>
      <c r="L4">
        <v>0</v>
      </c>
      <c r="M4">
        <v>38</v>
      </c>
      <c r="N4" t="s">
        <v>19</v>
      </c>
      <c r="O4" t="s">
        <v>22</v>
      </c>
    </row>
    <row r="5" spans="1:15" x14ac:dyDescent="0.3">
      <c r="A5">
        <v>42426592</v>
      </c>
      <c r="B5">
        <v>1</v>
      </c>
      <c r="C5">
        <v>128</v>
      </c>
      <c r="D5">
        <v>54</v>
      </c>
      <c r="E5">
        <v>19</v>
      </c>
      <c r="F5">
        <v>1</v>
      </c>
      <c r="G5">
        <v>1</v>
      </c>
      <c r="H5">
        <v>204</v>
      </c>
      <c r="I5" t="s">
        <v>23</v>
      </c>
      <c r="J5">
        <v>70</v>
      </c>
      <c r="K5">
        <v>204</v>
      </c>
      <c r="L5">
        <v>0</v>
      </c>
      <c r="M5">
        <v>55</v>
      </c>
      <c r="N5" t="s">
        <v>19</v>
      </c>
      <c r="O5" t="s">
        <v>24</v>
      </c>
    </row>
    <row r="6" spans="1:15" x14ac:dyDescent="0.3">
      <c r="A6">
        <v>42426641</v>
      </c>
      <c r="B6">
        <v>1</v>
      </c>
      <c r="C6">
        <v>178</v>
      </c>
      <c r="D6">
        <v>25</v>
      </c>
      <c r="E6">
        <v>8</v>
      </c>
      <c r="F6">
        <v>2</v>
      </c>
      <c r="G6">
        <v>1</v>
      </c>
      <c r="H6">
        <v>215</v>
      </c>
      <c r="I6" t="s">
        <v>25</v>
      </c>
      <c r="J6">
        <v>125</v>
      </c>
      <c r="K6">
        <v>215</v>
      </c>
      <c r="L6">
        <v>0</v>
      </c>
      <c r="M6">
        <v>29</v>
      </c>
      <c r="N6" t="s">
        <v>19</v>
      </c>
      <c r="O6" t="s">
        <v>26</v>
      </c>
    </row>
    <row r="7" spans="1:15" x14ac:dyDescent="0.3">
      <c r="A7">
        <v>42458992</v>
      </c>
      <c r="B7">
        <v>1</v>
      </c>
      <c r="C7">
        <v>22</v>
      </c>
      <c r="D7">
        <v>2</v>
      </c>
      <c r="E7">
        <v>1</v>
      </c>
      <c r="F7">
        <v>0</v>
      </c>
      <c r="G7">
        <v>0</v>
      </c>
      <c r="H7">
        <v>26</v>
      </c>
      <c r="I7" t="s">
        <v>27</v>
      </c>
      <c r="J7">
        <v>17</v>
      </c>
      <c r="K7">
        <v>26</v>
      </c>
      <c r="L7">
        <v>0</v>
      </c>
      <c r="M7">
        <v>1</v>
      </c>
      <c r="N7" t="s">
        <v>19</v>
      </c>
      <c r="O7" t="s">
        <v>28</v>
      </c>
    </row>
    <row r="8" spans="1:15" x14ac:dyDescent="0.3">
      <c r="A8">
        <v>42459041</v>
      </c>
      <c r="B8">
        <v>1</v>
      </c>
      <c r="C8">
        <v>12</v>
      </c>
      <c r="D8">
        <v>8</v>
      </c>
      <c r="E8">
        <v>2</v>
      </c>
      <c r="F8">
        <v>0</v>
      </c>
      <c r="G8">
        <v>0</v>
      </c>
      <c r="H8">
        <v>23</v>
      </c>
      <c r="I8" t="s">
        <v>29</v>
      </c>
      <c r="J8">
        <v>7</v>
      </c>
      <c r="K8">
        <v>23</v>
      </c>
      <c r="L8">
        <v>0</v>
      </c>
      <c r="M8">
        <v>6</v>
      </c>
      <c r="N8" t="s">
        <v>19</v>
      </c>
      <c r="O8" t="s">
        <v>30</v>
      </c>
    </row>
    <row r="9" spans="1:15" x14ac:dyDescent="0.3">
      <c r="A9">
        <v>42459099</v>
      </c>
      <c r="B9">
        <v>1</v>
      </c>
      <c r="C9">
        <v>47</v>
      </c>
      <c r="D9">
        <v>0</v>
      </c>
      <c r="E9">
        <v>0</v>
      </c>
      <c r="F9">
        <v>0</v>
      </c>
      <c r="G9">
        <v>1</v>
      </c>
      <c r="H9">
        <v>49</v>
      </c>
      <c r="I9" t="s">
        <v>31</v>
      </c>
      <c r="J9">
        <v>19</v>
      </c>
      <c r="K9">
        <v>49</v>
      </c>
      <c r="L9">
        <v>0</v>
      </c>
      <c r="M9">
        <v>4</v>
      </c>
      <c r="N9" t="s">
        <v>19</v>
      </c>
      <c r="O9" t="s">
        <v>32</v>
      </c>
    </row>
    <row r="10" spans="1:15" x14ac:dyDescent="0.3">
      <c r="A10">
        <v>42459241</v>
      </c>
      <c r="B10">
        <v>1</v>
      </c>
      <c r="C10">
        <v>37</v>
      </c>
      <c r="D10">
        <v>22</v>
      </c>
      <c r="E10">
        <v>6</v>
      </c>
      <c r="F10">
        <v>0</v>
      </c>
      <c r="G10">
        <v>2</v>
      </c>
      <c r="H10">
        <v>68</v>
      </c>
      <c r="I10" t="s">
        <v>33</v>
      </c>
      <c r="J10">
        <v>18</v>
      </c>
      <c r="K10">
        <v>68</v>
      </c>
      <c r="L10">
        <v>0</v>
      </c>
      <c r="M10">
        <v>35</v>
      </c>
      <c r="N10" t="s">
        <v>19</v>
      </c>
      <c r="O10" t="s">
        <v>34</v>
      </c>
    </row>
    <row r="11" spans="1:15" x14ac:dyDescent="0.3">
      <c r="A11">
        <v>42459298</v>
      </c>
      <c r="B11">
        <v>1</v>
      </c>
      <c r="C11">
        <v>20</v>
      </c>
      <c r="D11">
        <v>3</v>
      </c>
      <c r="E11">
        <v>1</v>
      </c>
      <c r="F11">
        <v>0</v>
      </c>
      <c r="G11">
        <v>1</v>
      </c>
      <c r="H11">
        <v>26</v>
      </c>
      <c r="I11" t="s">
        <v>35</v>
      </c>
      <c r="J11">
        <v>15</v>
      </c>
      <c r="K11">
        <v>26</v>
      </c>
      <c r="L11">
        <v>0</v>
      </c>
      <c r="M11">
        <v>2</v>
      </c>
      <c r="N11" t="s">
        <v>19</v>
      </c>
      <c r="O11" t="s">
        <v>36</v>
      </c>
    </row>
    <row r="12" spans="1:15" x14ac:dyDescent="0.3">
      <c r="A12">
        <v>42463024</v>
      </c>
      <c r="B12">
        <v>1</v>
      </c>
      <c r="C12">
        <v>301</v>
      </c>
      <c r="D12">
        <v>31</v>
      </c>
      <c r="E12">
        <v>11</v>
      </c>
      <c r="F12">
        <v>4</v>
      </c>
      <c r="G12">
        <v>5</v>
      </c>
      <c r="H12">
        <v>353</v>
      </c>
      <c r="I12" t="s">
        <v>37</v>
      </c>
      <c r="J12">
        <v>103</v>
      </c>
      <c r="K12">
        <v>353</v>
      </c>
      <c r="L12">
        <v>0</v>
      </c>
      <c r="M12">
        <v>53</v>
      </c>
      <c r="N12" t="s">
        <v>19</v>
      </c>
      <c r="O12" t="s">
        <v>38</v>
      </c>
    </row>
    <row r="13" spans="1:15" x14ac:dyDescent="0.3">
      <c r="A13">
        <v>42463063</v>
      </c>
      <c r="B13">
        <v>1</v>
      </c>
      <c r="C13">
        <v>209</v>
      </c>
      <c r="D13">
        <v>8</v>
      </c>
      <c r="E13">
        <v>7</v>
      </c>
      <c r="F13">
        <v>1</v>
      </c>
      <c r="G13">
        <v>2</v>
      </c>
      <c r="H13">
        <v>228</v>
      </c>
      <c r="I13" t="s">
        <v>39</v>
      </c>
      <c r="J13">
        <v>100</v>
      </c>
      <c r="K13">
        <v>228</v>
      </c>
      <c r="L13">
        <v>0</v>
      </c>
      <c r="M13">
        <v>108</v>
      </c>
      <c r="N13" t="s">
        <v>19</v>
      </c>
      <c r="O13" t="s">
        <v>40</v>
      </c>
    </row>
    <row r="14" spans="1:15" x14ac:dyDescent="0.3">
      <c r="A14">
        <v>42705635</v>
      </c>
      <c r="B14">
        <v>1</v>
      </c>
      <c r="C14">
        <v>110</v>
      </c>
      <c r="D14">
        <v>60</v>
      </c>
      <c r="E14">
        <v>21</v>
      </c>
      <c r="F14">
        <v>2</v>
      </c>
      <c r="G14">
        <v>1</v>
      </c>
      <c r="H14">
        <v>195</v>
      </c>
      <c r="I14" t="s">
        <v>41</v>
      </c>
      <c r="J14">
        <v>65</v>
      </c>
      <c r="K14">
        <v>195</v>
      </c>
      <c r="L14">
        <v>3</v>
      </c>
      <c r="M14">
        <v>20</v>
      </c>
      <c r="N14" t="s">
        <v>42</v>
      </c>
      <c r="O14" t="s">
        <v>43</v>
      </c>
    </row>
    <row r="15" spans="1:15" x14ac:dyDescent="0.3">
      <c r="A15">
        <v>42731028</v>
      </c>
      <c r="B15">
        <v>1</v>
      </c>
      <c r="C15">
        <v>167</v>
      </c>
      <c r="D15">
        <v>20</v>
      </c>
      <c r="E15">
        <v>12</v>
      </c>
      <c r="F15">
        <v>1</v>
      </c>
      <c r="G15">
        <v>0</v>
      </c>
      <c r="H15">
        <v>201</v>
      </c>
      <c r="I15" t="s">
        <v>44</v>
      </c>
      <c r="J15">
        <v>99</v>
      </c>
      <c r="K15">
        <v>201</v>
      </c>
      <c r="L15">
        <v>1</v>
      </c>
      <c r="M15">
        <v>15</v>
      </c>
      <c r="N15" t="s">
        <v>45</v>
      </c>
      <c r="O15" t="s">
        <v>46</v>
      </c>
    </row>
    <row r="16" spans="1:15" x14ac:dyDescent="0.3">
      <c r="A16">
        <v>42913719</v>
      </c>
      <c r="B16">
        <v>1</v>
      </c>
      <c r="C16">
        <v>148</v>
      </c>
      <c r="D16">
        <v>36</v>
      </c>
      <c r="E16">
        <v>10</v>
      </c>
      <c r="F16">
        <v>0</v>
      </c>
      <c r="G16">
        <v>1</v>
      </c>
      <c r="H16">
        <v>196</v>
      </c>
      <c r="I16" t="s">
        <v>47</v>
      </c>
      <c r="J16">
        <v>142</v>
      </c>
      <c r="K16">
        <v>196</v>
      </c>
      <c r="L16">
        <v>1</v>
      </c>
      <c r="M16">
        <v>25</v>
      </c>
      <c r="N16" t="s">
        <v>48</v>
      </c>
      <c r="O16" t="s">
        <v>49</v>
      </c>
    </row>
    <row r="17" spans="1:15" x14ac:dyDescent="0.3">
      <c r="A17">
        <v>42971568</v>
      </c>
      <c r="B17">
        <v>1</v>
      </c>
      <c r="C17">
        <v>102</v>
      </c>
      <c r="D17">
        <v>23</v>
      </c>
      <c r="E17">
        <v>6</v>
      </c>
      <c r="F17">
        <v>0</v>
      </c>
      <c r="G17">
        <v>0</v>
      </c>
      <c r="H17">
        <v>132</v>
      </c>
      <c r="I17" t="s">
        <v>50</v>
      </c>
      <c r="J17">
        <v>97</v>
      </c>
      <c r="K17">
        <v>132</v>
      </c>
      <c r="L17">
        <v>2</v>
      </c>
      <c r="M17">
        <v>12</v>
      </c>
      <c r="N17" t="s">
        <v>51</v>
      </c>
      <c r="O17" t="s">
        <v>52</v>
      </c>
    </row>
    <row r="18" spans="1:15" x14ac:dyDescent="0.3">
      <c r="A18">
        <v>42997602</v>
      </c>
      <c r="B18">
        <v>1</v>
      </c>
      <c r="C18">
        <v>148</v>
      </c>
      <c r="D18">
        <v>33</v>
      </c>
      <c r="E18">
        <v>13</v>
      </c>
      <c r="F18">
        <v>2</v>
      </c>
      <c r="G18">
        <v>0</v>
      </c>
      <c r="H18">
        <v>197</v>
      </c>
      <c r="I18" t="s">
        <v>53</v>
      </c>
      <c r="J18">
        <v>97</v>
      </c>
      <c r="K18">
        <v>197</v>
      </c>
      <c r="L18">
        <v>1</v>
      </c>
      <c r="M18">
        <v>17</v>
      </c>
      <c r="N18" t="s">
        <v>48</v>
      </c>
      <c r="O18" t="s">
        <v>54</v>
      </c>
    </row>
    <row r="19" spans="1:15" x14ac:dyDescent="0.3">
      <c r="A19">
        <v>43022614</v>
      </c>
      <c r="B19">
        <v>1</v>
      </c>
      <c r="C19">
        <v>114</v>
      </c>
      <c r="D19">
        <v>31</v>
      </c>
      <c r="E19">
        <v>18</v>
      </c>
      <c r="F19">
        <v>0</v>
      </c>
      <c r="G19">
        <v>1</v>
      </c>
      <c r="H19">
        <v>165</v>
      </c>
      <c r="I19" t="s">
        <v>55</v>
      </c>
      <c r="J19">
        <v>109</v>
      </c>
      <c r="K19">
        <v>165</v>
      </c>
      <c r="L19">
        <v>1</v>
      </c>
      <c r="M19">
        <v>35</v>
      </c>
      <c r="N19" t="s">
        <v>56</v>
      </c>
      <c r="O19" t="s">
        <v>57</v>
      </c>
    </row>
    <row r="20" spans="1:15" x14ac:dyDescent="0.3">
      <c r="A20">
        <v>43081554</v>
      </c>
      <c r="B20">
        <v>1</v>
      </c>
      <c r="C20">
        <v>73</v>
      </c>
      <c r="D20">
        <v>40</v>
      </c>
      <c r="E20">
        <v>20</v>
      </c>
      <c r="F20">
        <v>0</v>
      </c>
      <c r="G20">
        <v>0</v>
      </c>
      <c r="H20">
        <v>134</v>
      </c>
      <c r="I20" t="s">
        <v>58</v>
      </c>
      <c r="J20">
        <v>66</v>
      </c>
      <c r="K20">
        <v>134</v>
      </c>
      <c r="L20">
        <v>1</v>
      </c>
      <c r="M20">
        <v>24</v>
      </c>
      <c r="N20" t="s">
        <v>59</v>
      </c>
      <c r="O20" t="s">
        <v>60</v>
      </c>
    </row>
    <row r="21" spans="1:15" x14ac:dyDescent="0.3">
      <c r="A21">
        <v>43110506</v>
      </c>
      <c r="B21">
        <v>1</v>
      </c>
      <c r="C21">
        <v>86</v>
      </c>
      <c r="D21">
        <v>22</v>
      </c>
      <c r="E21">
        <v>8</v>
      </c>
      <c r="F21">
        <v>2</v>
      </c>
      <c r="G21">
        <v>0</v>
      </c>
      <c r="H21">
        <v>119</v>
      </c>
      <c r="I21" t="s">
        <v>61</v>
      </c>
      <c r="J21">
        <v>81</v>
      </c>
      <c r="K21">
        <v>119</v>
      </c>
      <c r="L21">
        <v>1</v>
      </c>
      <c r="M21">
        <v>18</v>
      </c>
      <c r="N21" t="s">
        <v>62</v>
      </c>
      <c r="O21" t="s">
        <v>63</v>
      </c>
    </row>
    <row r="22" spans="1:15" x14ac:dyDescent="0.3">
      <c r="A22">
        <v>43138108</v>
      </c>
      <c r="B22">
        <v>1</v>
      </c>
      <c r="C22">
        <v>102</v>
      </c>
      <c r="D22">
        <v>38</v>
      </c>
      <c r="E22">
        <v>12</v>
      </c>
      <c r="F22">
        <v>2</v>
      </c>
      <c r="G22">
        <v>0</v>
      </c>
      <c r="H22">
        <v>155</v>
      </c>
      <c r="I22" t="s">
        <v>64</v>
      </c>
      <c r="J22">
        <v>76</v>
      </c>
      <c r="K22">
        <v>155</v>
      </c>
      <c r="L22">
        <v>0</v>
      </c>
      <c r="M22">
        <v>25</v>
      </c>
      <c r="N22" t="s">
        <v>19</v>
      </c>
      <c r="O22" t="s">
        <v>65</v>
      </c>
    </row>
    <row r="23" spans="1:15" x14ac:dyDescent="0.3">
      <c r="A23">
        <v>43166702</v>
      </c>
      <c r="B23">
        <v>1</v>
      </c>
      <c r="C23">
        <v>107</v>
      </c>
      <c r="D23">
        <v>47</v>
      </c>
      <c r="E23">
        <v>11</v>
      </c>
      <c r="F23">
        <v>2</v>
      </c>
      <c r="G23">
        <v>0</v>
      </c>
      <c r="H23">
        <v>168</v>
      </c>
      <c r="I23" t="s">
        <v>66</v>
      </c>
      <c r="J23">
        <v>81</v>
      </c>
      <c r="K23">
        <v>168</v>
      </c>
      <c r="L23">
        <v>1</v>
      </c>
      <c r="M23">
        <v>15</v>
      </c>
      <c r="N23" t="s">
        <v>67</v>
      </c>
      <c r="O23" t="s">
        <v>68</v>
      </c>
    </row>
    <row r="24" spans="1:15" x14ac:dyDescent="0.3">
      <c r="A24">
        <v>8200826</v>
      </c>
      <c r="B24">
        <v>1</v>
      </c>
      <c r="C24">
        <v>134</v>
      </c>
      <c r="D24">
        <v>27</v>
      </c>
      <c r="E24">
        <v>33</v>
      </c>
      <c r="F24">
        <v>28</v>
      </c>
      <c r="G24">
        <v>36</v>
      </c>
      <c r="H24">
        <v>259</v>
      </c>
      <c r="I24" t="s">
        <v>69</v>
      </c>
      <c r="J24">
        <v>6</v>
      </c>
      <c r="K24">
        <v>4116</v>
      </c>
      <c r="L24">
        <v>816</v>
      </c>
      <c r="M24">
        <v>2050</v>
      </c>
      <c r="N24" t="s">
        <v>117</v>
      </c>
      <c r="O24" t="s">
        <v>118</v>
      </c>
    </row>
    <row r="25" spans="1:15" x14ac:dyDescent="0.3">
      <c r="A25">
        <v>43230061</v>
      </c>
      <c r="B25">
        <v>1</v>
      </c>
      <c r="C25">
        <v>91</v>
      </c>
      <c r="D25">
        <v>33</v>
      </c>
      <c r="E25">
        <v>4</v>
      </c>
      <c r="F25">
        <v>0</v>
      </c>
      <c r="G25">
        <v>1</v>
      </c>
      <c r="H25">
        <v>130</v>
      </c>
      <c r="I25" t="s">
        <v>70</v>
      </c>
      <c r="J25">
        <v>77</v>
      </c>
      <c r="K25">
        <v>130</v>
      </c>
      <c r="L25">
        <v>0</v>
      </c>
      <c r="M25">
        <v>54</v>
      </c>
      <c r="N25" t="s">
        <v>19</v>
      </c>
      <c r="O25" t="s">
        <v>71</v>
      </c>
    </row>
    <row r="26" spans="1:15" x14ac:dyDescent="0.3">
      <c r="A26">
        <v>43290314</v>
      </c>
      <c r="B26">
        <v>1</v>
      </c>
      <c r="C26">
        <v>88</v>
      </c>
      <c r="D26">
        <v>34</v>
      </c>
      <c r="E26">
        <v>9</v>
      </c>
      <c r="F26">
        <v>0</v>
      </c>
      <c r="G26">
        <v>1</v>
      </c>
      <c r="H26">
        <v>133</v>
      </c>
      <c r="I26" t="s">
        <v>72</v>
      </c>
      <c r="J26">
        <v>72</v>
      </c>
      <c r="K26">
        <v>133</v>
      </c>
      <c r="L26">
        <v>1</v>
      </c>
      <c r="M26">
        <v>30</v>
      </c>
      <c r="N26" t="s">
        <v>59</v>
      </c>
      <c r="O26" t="s">
        <v>73</v>
      </c>
    </row>
    <row r="27" spans="1:15" x14ac:dyDescent="0.3">
      <c r="A27">
        <v>43319297</v>
      </c>
      <c r="B27">
        <v>1</v>
      </c>
      <c r="C27">
        <v>63</v>
      </c>
      <c r="D27">
        <v>26</v>
      </c>
      <c r="E27">
        <v>9</v>
      </c>
      <c r="F27">
        <v>2</v>
      </c>
      <c r="G27">
        <v>0</v>
      </c>
      <c r="H27">
        <v>101</v>
      </c>
      <c r="I27" t="s">
        <v>74</v>
      </c>
      <c r="J27">
        <v>50</v>
      </c>
      <c r="K27">
        <v>101</v>
      </c>
      <c r="L27">
        <v>0</v>
      </c>
      <c r="M27">
        <v>6</v>
      </c>
      <c r="N27" t="s">
        <v>19</v>
      </c>
      <c r="O27" t="s">
        <v>75</v>
      </c>
    </row>
    <row r="28" spans="1:15" x14ac:dyDescent="0.3">
      <c r="A28">
        <v>43346700</v>
      </c>
      <c r="B28">
        <v>1</v>
      </c>
      <c r="C28">
        <v>101</v>
      </c>
      <c r="D28">
        <v>16</v>
      </c>
      <c r="E28">
        <v>7</v>
      </c>
      <c r="F28">
        <v>1</v>
      </c>
      <c r="G28">
        <v>0</v>
      </c>
      <c r="H28">
        <v>126</v>
      </c>
      <c r="I28" t="s">
        <v>76</v>
      </c>
      <c r="J28">
        <v>77</v>
      </c>
      <c r="K28">
        <v>126</v>
      </c>
      <c r="L28">
        <v>0</v>
      </c>
      <c r="M28">
        <v>16</v>
      </c>
      <c r="N28" t="s">
        <v>19</v>
      </c>
      <c r="O28" t="s">
        <v>77</v>
      </c>
    </row>
    <row r="29" spans="1:15" x14ac:dyDescent="0.3">
      <c r="A29">
        <v>43374604</v>
      </c>
      <c r="B29">
        <v>1</v>
      </c>
      <c r="C29">
        <v>61</v>
      </c>
      <c r="D29">
        <v>15</v>
      </c>
      <c r="E29">
        <v>3</v>
      </c>
      <c r="F29">
        <v>0</v>
      </c>
      <c r="G29">
        <v>0</v>
      </c>
      <c r="H29">
        <v>80</v>
      </c>
      <c r="I29" t="s">
        <v>78</v>
      </c>
      <c r="J29">
        <v>56</v>
      </c>
      <c r="K29">
        <v>80</v>
      </c>
      <c r="L29">
        <v>0</v>
      </c>
      <c r="M29">
        <v>8</v>
      </c>
      <c r="N29" t="s">
        <v>19</v>
      </c>
      <c r="O29" t="s">
        <v>79</v>
      </c>
    </row>
    <row r="30" spans="1:15" x14ac:dyDescent="0.3">
      <c r="A30">
        <v>43402439</v>
      </c>
      <c r="B30">
        <v>1</v>
      </c>
      <c r="C30">
        <v>96</v>
      </c>
      <c r="D30">
        <v>26</v>
      </c>
      <c r="E30">
        <v>6</v>
      </c>
      <c r="F30">
        <v>1</v>
      </c>
      <c r="G30">
        <v>0</v>
      </c>
      <c r="H30">
        <v>130</v>
      </c>
      <c r="I30" t="s">
        <v>80</v>
      </c>
      <c r="J30">
        <v>89</v>
      </c>
      <c r="K30">
        <v>130</v>
      </c>
      <c r="L30">
        <v>5</v>
      </c>
      <c r="M30">
        <v>4</v>
      </c>
      <c r="N30" t="s">
        <v>28</v>
      </c>
      <c r="O30" t="s">
        <v>81</v>
      </c>
    </row>
    <row r="31" spans="1:15" x14ac:dyDescent="0.3">
      <c r="A31">
        <v>43430885</v>
      </c>
      <c r="B31">
        <v>1</v>
      </c>
      <c r="C31">
        <v>75</v>
      </c>
      <c r="D31">
        <v>22</v>
      </c>
      <c r="E31">
        <v>7</v>
      </c>
      <c r="F31">
        <v>1</v>
      </c>
      <c r="G31">
        <v>0</v>
      </c>
      <c r="H31">
        <v>106</v>
      </c>
      <c r="I31" t="s">
        <v>82</v>
      </c>
      <c r="J31">
        <v>70</v>
      </c>
      <c r="K31">
        <v>106</v>
      </c>
      <c r="L31">
        <v>0</v>
      </c>
      <c r="M31">
        <v>6</v>
      </c>
      <c r="N31" t="s">
        <v>19</v>
      </c>
      <c r="O31" t="s">
        <v>83</v>
      </c>
    </row>
    <row r="32" spans="1:15" x14ac:dyDescent="0.3">
      <c r="A32">
        <v>43539274</v>
      </c>
      <c r="B32">
        <v>1</v>
      </c>
      <c r="C32">
        <v>110</v>
      </c>
      <c r="D32">
        <v>24</v>
      </c>
      <c r="E32">
        <v>4</v>
      </c>
      <c r="F32">
        <v>1</v>
      </c>
      <c r="G32">
        <v>0</v>
      </c>
      <c r="H32">
        <v>140</v>
      </c>
      <c r="I32" t="s">
        <v>84</v>
      </c>
      <c r="J32">
        <v>103</v>
      </c>
      <c r="K32">
        <v>140</v>
      </c>
      <c r="L32">
        <v>0</v>
      </c>
      <c r="M32">
        <v>11</v>
      </c>
      <c r="N32" t="s">
        <v>19</v>
      </c>
      <c r="O32" t="s">
        <v>85</v>
      </c>
    </row>
    <row r="33" spans="1:15" x14ac:dyDescent="0.3">
      <c r="A33">
        <v>43566043</v>
      </c>
      <c r="B33">
        <v>1</v>
      </c>
      <c r="C33">
        <v>107</v>
      </c>
      <c r="D33">
        <v>28</v>
      </c>
      <c r="E33">
        <v>3</v>
      </c>
      <c r="F33">
        <v>1</v>
      </c>
      <c r="G33">
        <v>0</v>
      </c>
      <c r="H33">
        <v>140</v>
      </c>
      <c r="I33" t="s">
        <v>86</v>
      </c>
      <c r="J33">
        <v>99</v>
      </c>
      <c r="K33">
        <v>140</v>
      </c>
      <c r="L33">
        <v>1</v>
      </c>
      <c r="M33">
        <v>11</v>
      </c>
      <c r="N33" t="s">
        <v>87</v>
      </c>
      <c r="O33" t="s">
        <v>85</v>
      </c>
    </row>
    <row r="34" spans="1:15" x14ac:dyDescent="0.3">
      <c r="A34">
        <v>43593087</v>
      </c>
      <c r="B34">
        <v>1</v>
      </c>
      <c r="C34">
        <v>97</v>
      </c>
      <c r="D34">
        <v>26</v>
      </c>
      <c r="E34">
        <v>0</v>
      </c>
      <c r="F34">
        <v>1</v>
      </c>
      <c r="G34">
        <v>0</v>
      </c>
      <c r="H34">
        <v>125</v>
      </c>
      <c r="I34" t="s">
        <v>88</v>
      </c>
      <c r="J34">
        <v>92</v>
      </c>
      <c r="K34">
        <v>125</v>
      </c>
      <c r="L34">
        <v>0</v>
      </c>
      <c r="M34">
        <v>8</v>
      </c>
      <c r="N34" t="s">
        <v>19</v>
      </c>
      <c r="O34" t="s">
        <v>89</v>
      </c>
    </row>
    <row r="35" spans="1:15" x14ac:dyDescent="0.3">
      <c r="A35">
        <v>43614456</v>
      </c>
      <c r="B35">
        <v>1</v>
      </c>
      <c r="C35">
        <v>68</v>
      </c>
      <c r="D35">
        <v>20</v>
      </c>
      <c r="E35">
        <v>2</v>
      </c>
      <c r="F35">
        <v>2</v>
      </c>
      <c r="G35">
        <v>1</v>
      </c>
      <c r="H35">
        <v>94</v>
      </c>
      <c r="I35" t="s">
        <v>90</v>
      </c>
      <c r="J35">
        <v>61</v>
      </c>
      <c r="K35">
        <v>94</v>
      </c>
      <c r="L35">
        <v>1</v>
      </c>
      <c r="M35">
        <v>12</v>
      </c>
      <c r="N35" t="s">
        <v>91</v>
      </c>
      <c r="O35" t="s">
        <v>92</v>
      </c>
    </row>
    <row r="36" spans="1:15" x14ac:dyDescent="0.3">
      <c r="A36">
        <v>43674483</v>
      </c>
      <c r="B36">
        <v>1</v>
      </c>
      <c r="C36">
        <v>84</v>
      </c>
      <c r="D36">
        <v>13</v>
      </c>
      <c r="E36">
        <v>3</v>
      </c>
      <c r="F36">
        <v>0</v>
      </c>
      <c r="G36">
        <v>0</v>
      </c>
      <c r="H36">
        <v>101</v>
      </c>
      <c r="I36" t="s">
        <v>93</v>
      </c>
      <c r="J36">
        <v>79</v>
      </c>
      <c r="K36">
        <v>101</v>
      </c>
      <c r="L36">
        <v>1</v>
      </c>
      <c r="M36">
        <v>6</v>
      </c>
      <c r="N36" t="s">
        <v>94</v>
      </c>
      <c r="O36" t="s">
        <v>75</v>
      </c>
    </row>
    <row r="37" spans="1:15" x14ac:dyDescent="0.3">
      <c r="A37">
        <v>43862968</v>
      </c>
      <c r="B37">
        <v>1</v>
      </c>
      <c r="C37">
        <v>117</v>
      </c>
      <c r="D37">
        <v>23</v>
      </c>
      <c r="E37">
        <v>1</v>
      </c>
      <c r="F37">
        <v>1</v>
      </c>
      <c r="G37">
        <v>1</v>
      </c>
      <c r="H37">
        <v>144</v>
      </c>
      <c r="I37" t="s">
        <v>95</v>
      </c>
      <c r="J37">
        <v>70</v>
      </c>
      <c r="K37">
        <v>144</v>
      </c>
      <c r="L37">
        <v>1</v>
      </c>
      <c r="M37">
        <v>10</v>
      </c>
      <c r="N37" t="s">
        <v>96</v>
      </c>
      <c r="O37" t="s">
        <v>97</v>
      </c>
    </row>
    <row r="38" spans="1:15" x14ac:dyDescent="0.3">
      <c r="A38">
        <v>43891958</v>
      </c>
      <c r="B38">
        <v>1</v>
      </c>
      <c r="C38">
        <v>87</v>
      </c>
      <c r="D38">
        <v>30</v>
      </c>
      <c r="E38">
        <v>3</v>
      </c>
      <c r="F38">
        <v>0</v>
      </c>
      <c r="G38">
        <v>0</v>
      </c>
      <c r="H38">
        <v>121</v>
      </c>
      <c r="I38" t="s">
        <v>98</v>
      </c>
      <c r="J38">
        <v>82</v>
      </c>
      <c r="K38">
        <v>121</v>
      </c>
      <c r="L38">
        <v>1</v>
      </c>
      <c r="M38">
        <v>4</v>
      </c>
      <c r="N38" t="s">
        <v>99</v>
      </c>
      <c r="O38" t="s">
        <v>100</v>
      </c>
    </row>
    <row r="39" spans="1:15" x14ac:dyDescent="0.3">
      <c r="A39">
        <v>43920615</v>
      </c>
      <c r="B39">
        <v>1</v>
      </c>
      <c r="C39">
        <v>96</v>
      </c>
      <c r="D39">
        <v>27</v>
      </c>
      <c r="E39">
        <v>1</v>
      </c>
      <c r="F39">
        <v>1</v>
      </c>
      <c r="G39">
        <v>0</v>
      </c>
      <c r="H39">
        <v>126</v>
      </c>
      <c r="I39" t="s">
        <v>101</v>
      </c>
      <c r="J39">
        <v>91</v>
      </c>
      <c r="K39">
        <v>126</v>
      </c>
      <c r="L39">
        <v>0</v>
      </c>
      <c r="M39">
        <v>8</v>
      </c>
      <c r="N39" t="s">
        <v>19</v>
      </c>
      <c r="O39" t="s">
        <v>102</v>
      </c>
    </row>
    <row r="40" spans="1:15" x14ac:dyDescent="0.3">
      <c r="A40">
        <v>43949404</v>
      </c>
      <c r="B40">
        <v>1</v>
      </c>
      <c r="C40">
        <v>79</v>
      </c>
      <c r="D40">
        <v>26</v>
      </c>
      <c r="E40">
        <v>3</v>
      </c>
      <c r="F40">
        <v>1</v>
      </c>
      <c r="G40">
        <v>0</v>
      </c>
      <c r="H40">
        <v>110</v>
      </c>
      <c r="I40" t="s">
        <v>103</v>
      </c>
      <c r="J40">
        <v>74</v>
      </c>
      <c r="K40">
        <v>110</v>
      </c>
      <c r="L40">
        <v>0</v>
      </c>
      <c r="M40">
        <v>5</v>
      </c>
      <c r="N40" t="s">
        <v>19</v>
      </c>
      <c r="O40" t="s">
        <v>104</v>
      </c>
    </row>
    <row r="41" spans="1:15" x14ac:dyDescent="0.3">
      <c r="A41">
        <v>43978801</v>
      </c>
      <c r="B41">
        <v>1</v>
      </c>
      <c r="C41">
        <v>65</v>
      </c>
      <c r="D41">
        <v>19</v>
      </c>
      <c r="E41">
        <v>1</v>
      </c>
      <c r="F41">
        <v>1</v>
      </c>
      <c r="G41">
        <v>0</v>
      </c>
      <c r="H41">
        <v>87</v>
      </c>
      <c r="I41" t="s">
        <v>105</v>
      </c>
      <c r="J41">
        <v>60</v>
      </c>
      <c r="K41">
        <v>87</v>
      </c>
      <c r="L41">
        <v>0</v>
      </c>
      <c r="M41">
        <v>12</v>
      </c>
      <c r="N41" t="s">
        <v>19</v>
      </c>
      <c r="O41" t="s">
        <v>106</v>
      </c>
    </row>
    <row r="42" spans="1:15" x14ac:dyDescent="0.3">
      <c r="A42">
        <v>44010401</v>
      </c>
      <c r="B42">
        <v>1</v>
      </c>
      <c r="C42">
        <v>62</v>
      </c>
      <c r="D42">
        <v>36</v>
      </c>
      <c r="E42">
        <v>2</v>
      </c>
      <c r="F42">
        <v>2</v>
      </c>
      <c r="G42">
        <v>0</v>
      </c>
      <c r="H42">
        <v>103</v>
      </c>
      <c r="I42" t="s">
        <v>107</v>
      </c>
      <c r="J42">
        <v>41</v>
      </c>
      <c r="K42">
        <v>103</v>
      </c>
      <c r="L42">
        <v>0</v>
      </c>
      <c r="M42">
        <v>5</v>
      </c>
      <c r="N42" t="s">
        <v>19</v>
      </c>
      <c r="O42" t="s">
        <v>108</v>
      </c>
    </row>
  </sheetData>
  <autoFilter ref="A1:O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1E51-5698-4F7F-B1C8-99B7D0DBCADD}">
  <dimension ref="A1:G42"/>
  <sheetViews>
    <sheetView workbookViewId="0">
      <selection activeCell="G1" sqref="G1"/>
    </sheetView>
  </sheetViews>
  <sheetFormatPr defaultRowHeight="14.4" x14ac:dyDescent="0.3"/>
  <cols>
    <col min="1" max="1" width="9" bestFit="1" customWidth="1"/>
    <col min="2" max="2" width="14.6640625" bestFit="1" customWidth="1"/>
    <col min="3" max="3" width="11.77734375" bestFit="1" customWidth="1"/>
    <col min="4" max="4" width="52.77734375" customWidth="1"/>
    <col min="5" max="5" width="18.109375" bestFit="1" customWidth="1"/>
    <col min="7" max="7" width="22.109375" bestFit="1" customWidth="1"/>
  </cols>
  <sheetData>
    <row r="1" spans="1:7" x14ac:dyDescent="0.3">
      <c r="A1" s="3" t="s">
        <v>0</v>
      </c>
      <c r="B1" s="4" t="s">
        <v>119</v>
      </c>
      <c r="C1" s="3" t="s">
        <v>120</v>
      </c>
      <c r="D1" t="s">
        <v>123</v>
      </c>
      <c r="E1" t="s">
        <v>124</v>
      </c>
      <c r="F1" t="s">
        <v>129</v>
      </c>
      <c r="G1" t="s">
        <v>132</v>
      </c>
    </row>
    <row r="2" spans="1:7" x14ac:dyDescent="0.3">
      <c r="A2" s="3">
        <v>42372845</v>
      </c>
      <c r="B2" s="5">
        <v>46203.812013888892</v>
      </c>
      <c r="C2" s="3" t="s">
        <v>121</v>
      </c>
      <c r="D2" t="str">
        <f>IF(C2="NOT BAN","",_xlfn.XLOOKUP(A2,'[1]Results export'!$F$2:$F$33,'[1]Results export'!$G$2:$G$33))</f>
        <v/>
      </c>
      <c r="E2" s="6" t="str">
        <f>IF(C2="NOT BAN","",_xlfn.XLOOKUP(A2,'[1]Results export'!$F$2:$F$33,'[1]Results export'!$C$2:$C$33))</f>
        <v/>
      </c>
      <c r="F2" t="s">
        <v>130</v>
      </c>
      <c r="G2" s="7">
        <f>_xlfn.XLOOKUP(A2,'[2]Results export'!$A$2:$A$42,'[2]Results export'!$R$2:$R$42)</f>
        <v>2.7027027027027029E-2</v>
      </c>
    </row>
    <row r="3" spans="1:7" x14ac:dyDescent="0.3">
      <c r="A3" s="3">
        <v>42381392</v>
      </c>
      <c r="B3" s="5">
        <v>46204.304027777776</v>
      </c>
      <c r="C3" s="3" t="s">
        <v>121</v>
      </c>
      <c r="D3" t="str">
        <f>IF(C3="NOT BAN","",_xlfn.XLOOKUP(A3,'[1]Results export'!$F$2:$F$33,'[1]Results export'!$G$2:$G$33))</f>
        <v/>
      </c>
      <c r="E3" s="6" t="str">
        <f>IF(C3="NOT BAN","",_xlfn.XLOOKUP(A3,'[1]Results export'!$F$2:$F$33,'[1]Results export'!$C$2:$C$33))</f>
        <v/>
      </c>
      <c r="F3" t="s">
        <v>130</v>
      </c>
      <c r="G3" s="7">
        <f>_xlfn.XLOOKUP(A3,'[2]Results export'!$A$2:$A$42,'[2]Results export'!$R$2:$R$42)</f>
        <v>0</v>
      </c>
    </row>
    <row r="4" spans="1:7" x14ac:dyDescent="0.3">
      <c r="A4" s="3">
        <v>42406507</v>
      </c>
      <c r="B4" s="5">
        <v>46204.898495370369</v>
      </c>
      <c r="C4" s="3" t="s">
        <v>122</v>
      </c>
      <c r="D4" t="e">
        <f>IF(C4="NOT BAN","",_xlfn.XLOOKUP(A4,'[1]Results export'!$F$2:$F$33,'[1]Results export'!$G$2:$G$33))</f>
        <v>#N/A</v>
      </c>
      <c r="E4" s="6" t="e">
        <f>IF(C4="NOT BAN","",_xlfn.XLOOKUP(A4,'[1]Results export'!$F$2:$F$33,'[1]Results export'!$C$2:$C$33))</f>
        <v>#N/A</v>
      </c>
      <c r="F4" t="s">
        <v>130</v>
      </c>
      <c r="G4" s="7">
        <f>_xlfn.XLOOKUP(A4,'[2]Results export'!$A$2:$A$42,'[2]Results export'!$R$2:$R$42)</f>
        <v>0</v>
      </c>
    </row>
    <row r="5" spans="1:7" x14ac:dyDescent="0.3">
      <c r="A5" s="3">
        <v>42426592</v>
      </c>
      <c r="B5" s="5">
        <v>46205.677800925929</v>
      </c>
      <c r="C5" s="3" t="s">
        <v>122</v>
      </c>
      <c r="D5" t="e">
        <f>IF(C5="NOT BAN","",_xlfn.XLOOKUP(A5,'[1]Results export'!$F$2:$F$33,'[1]Results export'!$G$2:$G$33))</f>
        <v>#N/A</v>
      </c>
      <c r="E5" s="6" t="e">
        <f>IF(C5="NOT BAN","",_xlfn.XLOOKUP(A5,'[1]Results export'!$F$2:$F$33,'[1]Results export'!$C$2:$C$33))</f>
        <v>#N/A</v>
      </c>
      <c r="F5" t="s">
        <v>130</v>
      </c>
      <c r="G5" s="7">
        <f>_xlfn.XLOOKUP(A5,'[2]Results export'!$A$2:$A$42,'[2]Results export'!$R$2:$R$42)</f>
        <v>0</v>
      </c>
    </row>
    <row r="6" spans="1:7" x14ac:dyDescent="0.3">
      <c r="A6" s="3">
        <v>42426641</v>
      </c>
      <c r="B6" s="5">
        <v>46205.67900462963</v>
      </c>
      <c r="C6" s="3" t="s">
        <v>122</v>
      </c>
      <c r="D6" t="e">
        <f>IF(C6="NOT BAN","",_xlfn.XLOOKUP(A6,'[1]Results export'!$F$2:$F$33,'[1]Results export'!$G$2:$G$33))</f>
        <v>#N/A</v>
      </c>
      <c r="E6" s="6" t="e">
        <f>IF(C6="NOT BAN","",_xlfn.XLOOKUP(A6,'[1]Results export'!$F$2:$F$33,'[1]Results export'!$C$2:$C$33))</f>
        <v>#N/A</v>
      </c>
      <c r="F6" t="s">
        <v>130</v>
      </c>
      <c r="G6" s="7">
        <f>_xlfn.XLOOKUP(A6,'[2]Results export'!$A$2:$A$42,'[2]Results export'!$R$2:$R$42)</f>
        <v>0</v>
      </c>
    </row>
    <row r="7" spans="1:7" x14ac:dyDescent="0.3">
      <c r="A7" s="3">
        <v>42458992</v>
      </c>
      <c r="B7" s="5">
        <v>46206.779687499999</v>
      </c>
      <c r="C7" s="3" t="s">
        <v>121</v>
      </c>
      <c r="D7" t="str">
        <f>IF(C7="NOT BAN","",_xlfn.XLOOKUP(A7,'[1]Results export'!$F$2:$F$33,'[1]Results export'!$G$2:$G$33))</f>
        <v/>
      </c>
      <c r="E7" s="6" t="str">
        <f>IF(C7="NOT BAN","",_xlfn.XLOOKUP(A7,'[1]Results export'!$F$2:$F$33,'[1]Results export'!$C$2:$C$33))</f>
        <v/>
      </c>
      <c r="F7" t="s">
        <v>130</v>
      </c>
      <c r="G7" s="7">
        <f>_xlfn.XLOOKUP(A7,'[2]Results export'!$A$2:$A$42,'[2]Results export'!$R$2:$R$42)</f>
        <v>0</v>
      </c>
    </row>
    <row r="8" spans="1:7" x14ac:dyDescent="0.3">
      <c r="A8" s="3">
        <v>42459041</v>
      </c>
      <c r="B8" s="5">
        <v>46206.781064814815</v>
      </c>
      <c r="C8" s="3" t="s">
        <v>122</v>
      </c>
      <c r="D8" t="s">
        <v>125</v>
      </c>
      <c r="E8" s="6">
        <v>46213.437199074076</v>
      </c>
      <c r="F8" t="s">
        <v>130</v>
      </c>
      <c r="G8" s="7">
        <f>_xlfn.XLOOKUP(A8,'[2]Results export'!$A$2:$A$42,'[2]Results export'!$R$2:$R$42)</f>
        <v>0</v>
      </c>
    </row>
    <row r="9" spans="1:7" x14ac:dyDescent="0.3">
      <c r="A9" s="3">
        <v>42459099</v>
      </c>
      <c r="B9" s="5">
        <v>46206.782268518517</v>
      </c>
      <c r="C9" s="3" t="s">
        <v>122</v>
      </c>
      <c r="D9" t="e">
        <f>IF(C9="NOT BAN","",_xlfn.XLOOKUP(A9,'[1]Results export'!$F$2:$F$33,'[1]Results export'!$G$2:$G$33))</f>
        <v>#N/A</v>
      </c>
      <c r="E9" s="6" t="e">
        <f>IF(C9="NOT BAN","",_xlfn.XLOOKUP(A9,'[1]Results export'!$F$2:$F$33,'[1]Results export'!$C$2:$C$33))</f>
        <v>#N/A</v>
      </c>
      <c r="F9" t="s">
        <v>130</v>
      </c>
      <c r="G9" s="7">
        <f>_xlfn.XLOOKUP(A9,'[2]Results export'!$A$2:$A$42,'[2]Results export'!$R$2:$R$42)</f>
        <v>0</v>
      </c>
    </row>
    <row r="10" spans="1:7" x14ac:dyDescent="0.3">
      <c r="A10" s="3">
        <v>42459241</v>
      </c>
      <c r="B10" s="5">
        <v>46206.785729166666</v>
      </c>
      <c r="C10" s="3" t="s">
        <v>122</v>
      </c>
      <c r="D10" t="s">
        <v>126</v>
      </c>
      <c r="E10" s="6">
        <v>46222.427881944444</v>
      </c>
      <c r="F10" t="s">
        <v>130</v>
      </c>
      <c r="G10" s="7">
        <f>_xlfn.XLOOKUP(A10,'[2]Results export'!$A$2:$A$42,'[2]Results export'!$R$2:$R$42)</f>
        <v>0</v>
      </c>
    </row>
    <row r="11" spans="1:7" x14ac:dyDescent="0.3">
      <c r="A11" s="3">
        <v>42459298</v>
      </c>
      <c r="B11" s="5">
        <v>46206.787048611113</v>
      </c>
      <c r="C11" s="3" t="s">
        <v>121</v>
      </c>
      <c r="D11" t="str">
        <f>IF(C11="NOT BAN","",_xlfn.XLOOKUP(A11,'[1]Results export'!$F$2:$F$33,'[1]Results export'!$G$2:$G$33))</f>
        <v/>
      </c>
      <c r="E11" s="6" t="str">
        <f>IF(C11="NOT BAN","",_xlfn.XLOOKUP(A11,'[1]Results export'!$F$2:$F$33,'[1]Results export'!$C$2:$C$33))</f>
        <v/>
      </c>
      <c r="F11" t="s">
        <v>130</v>
      </c>
      <c r="G11" s="7">
        <f>_xlfn.XLOOKUP(A11,'[2]Results export'!$A$2:$A$42,'[2]Results export'!$R$2:$R$42)</f>
        <v>0</v>
      </c>
    </row>
    <row r="12" spans="1:7" x14ac:dyDescent="0.3">
      <c r="A12" s="3">
        <v>42463024</v>
      </c>
      <c r="B12" s="5">
        <v>46206.887523148151</v>
      </c>
      <c r="C12" s="3" t="s">
        <v>122</v>
      </c>
      <c r="D12" t="e">
        <f>IF(C12="NOT BAN","",_xlfn.XLOOKUP(A12,'[1]Results export'!$F$2:$F$33,'[1]Results export'!$G$2:$G$33))</f>
        <v>#N/A</v>
      </c>
      <c r="E12" s="6" t="e">
        <f>IF(C12="NOT BAN","",_xlfn.XLOOKUP(A12,'[1]Results export'!$F$2:$F$33,'[1]Results export'!$C$2:$C$33))</f>
        <v>#N/A</v>
      </c>
      <c r="F12" t="s">
        <v>131</v>
      </c>
      <c r="G12" s="7">
        <f>_xlfn.XLOOKUP(A12,'[2]Results export'!$A$2:$A$42,'[2]Results export'!$R$2:$R$42)</f>
        <v>0</v>
      </c>
    </row>
    <row r="13" spans="1:7" x14ac:dyDescent="0.3">
      <c r="A13" s="3">
        <v>42463063</v>
      </c>
      <c r="B13" s="5">
        <v>46206.889074074075</v>
      </c>
      <c r="C13" s="3" t="s">
        <v>122</v>
      </c>
      <c r="D13" t="e">
        <f>IF(C13="NOT BAN","",_xlfn.XLOOKUP(A13,'[1]Results export'!$F$2:$F$33,'[1]Results export'!$G$2:$G$33))</f>
        <v>#N/A</v>
      </c>
      <c r="E13" s="6" t="e">
        <f>IF(C13="NOT BAN","",_xlfn.XLOOKUP(A13,'[1]Results export'!$F$2:$F$33,'[1]Results export'!$C$2:$C$33))</f>
        <v>#N/A</v>
      </c>
      <c r="F13" t="s">
        <v>131</v>
      </c>
      <c r="G13" s="7">
        <f>_xlfn.XLOOKUP(A13,'[2]Results export'!$A$2:$A$42,'[2]Results export'!$R$2:$R$42)</f>
        <v>0</v>
      </c>
    </row>
    <row r="14" spans="1:7" x14ac:dyDescent="0.3">
      <c r="A14" s="3">
        <v>42705635</v>
      </c>
      <c r="B14" s="5">
        <v>46215.939513888887</v>
      </c>
      <c r="C14" s="3" t="s">
        <v>122</v>
      </c>
      <c r="D14" t="s">
        <v>127</v>
      </c>
      <c r="E14" s="6">
        <v>46216.399270833332</v>
      </c>
      <c r="F14" t="s">
        <v>130</v>
      </c>
      <c r="G14" s="7">
        <f>_xlfn.XLOOKUP(A14,'[2]Results export'!$A$2:$A$42,'[2]Results export'!$R$2:$R$42)</f>
        <v>1.5384615384615385E-2</v>
      </c>
    </row>
    <row r="15" spans="1:7" x14ac:dyDescent="0.3">
      <c r="A15" s="3">
        <v>42731028</v>
      </c>
      <c r="B15" s="5">
        <v>46216.87908564815</v>
      </c>
      <c r="C15" s="3" t="s">
        <v>122</v>
      </c>
      <c r="D15" t="s">
        <v>128</v>
      </c>
      <c r="E15" s="6">
        <v>46217.377581018518</v>
      </c>
      <c r="F15" t="s">
        <v>130</v>
      </c>
      <c r="G15" s="7">
        <f>_xlfn.XLOOKUP(A15,'[2]Results export'!$A$2:$A$42,'[2]Results export'!$R$2:$R$42)</f>
        <v>4.9751243781094526E-3</v>
      </c>
    </row>
    <row r="16" spans="1:7" x14ac:dyDescent="0.3">
      <c r="A16" s="3">
        <v>42913719</v>
      </c>
      <c r="B16" s="5">
        <v>46223.899652777778</v>
      </c>
      <c r="C16" s="3" t="s">
        <v>122</v>
      </c>
      <c r="D16" t="e">
        <f>IF(C16="NOT BAN","",_xlfn.XLOOKUP(A16,'[1]Results export'!$F$2:$F$33,'[1]Results export'!$G$2:$G$33))</f>
        <v>#N/A</v>
      </c>
      <c r="E16" s="6" t="e">
        <f>IF(C16="NOT BAN","",_xlfn.XLOOKUP(A16,'[1]Results export'!$F$2:$F$33,'[1]Results export'!$C$2:$C$33))</f>
        <v>#N/A</v>
      </c>
      <c r="F16" t="s">
        <v>131</v>
      </c>
      <c r="G16" s="7">
        <f>_xlfn.XLOOKUP(A16,'[2]Results export'!$A$2:$A$42,'[2]Results export'!$R$2:$R$42)</f>
        <v>5.1020408163265302E-3</v>
      </c>
    </row>
    <row r="17" spans="1:7" x14ac:dyDescent="0.3">
      <c r="A17" s="3">
        <v>42971568</v>
      </c>
      <c r="B17" s="5">
        <v>46226.351898148147</v>
      </c>
      <c r="C17" s="3" t="s">
        <v>122</v>
      </c>
      <c r="D17" t="e">
        <f>IF(C17="NOT BAN","",_xlfn.XLOOKUP(A17,'[1]Results export'!$F$2:$F$33,'[1]Results export'!$G$2:$G$33))</f>
        <v>#N/A</v>
      </c>
      <c r="E17" s="6" t="e">
        <f>IF(C17="NOT BAN","",_xlfn.XLOOKUP(A17,'[1]Results export'!$F$2:$F$33,'[1]Results export'!$C$2:$C$33))</f>
        <v>#N/A</v>
      </c>
      <c r="F17" t="s">
        <v>130</v>
      </c>
      <c r="G17" s="7">
        <f>_xlfn.XLOOKUP(A17,'[2]Results export'!$A$2:$A$42,'[2]Results export'!$R$2:$R$42)</f>
        <v>1.5151515151515152E-2</v>
      </c>
    </row>
    <row r="18" spans="1:7" x14ac:dyDescent="0.3">
      <c r="A18" s="3">
        <v>42997602</v>
      </c>
      <c r="B18" s="5">
        <v>46227.310555555552</v>
      </c>
      <c r="C18" s="3" t="s">
        <v>122</v>
      </c>
      <c r="D18" t="e">
        <f>IF(C18="NOT BAN","",_xlfn.XLOOKUP(A18,'[1]Results export'!$F$2:$F$33,'[1]Results export'!$G$2:$G$33))</f>
        <v>#N/A</v>
      </c>
      <c r="E18" s="6" t="e">
        <f>IF(C18="NOT BAN","",_xlfn.XLOOKUP(A18,'[1]Results export'!$F$2:$F$33,'[1]Results export'!$C$2:$C$33))</f>
        <v>#N/A</v>
      </c>
      <c r="F18" t="s">
        <v>130</v>
      </c>
      <c r="G18" s="7">
        <f>_xlfn.XLOOKUP(A18,'[2]Results export'!$A$2:$A$42,'[2]Results export'!$R$2:$R$42)</f>
        <v>5.076142131979695E-3</v>
      </c>
    </row>
    <row r="19" spans="1:7" x14ac:dyDescent="0.3">
      <c r="A19" s="3">
        <v>43022614</v>
      </c>
      <c r="B19" s="5">
        <v>46227.953402777777</v>
      </c>
      <c r="C19" s="3" t="s">
        <v>122</v>
      </c>
      <c r="D19" t="e">
        <f>IF(C19="NOT BAN","",_xlfn.XLOOKUP(A19,'[1]Results export'!$F$2:$F$33,'[1]Results export'!$G$2:$G$33))</f>
        <v>#N/A</v>
      </c>
      <c r="E19" s="6" t="e">
        <f>IF(C19="NOT BAN","",_xlfn.XLOOKUP(A19,'[1]Results export'!$F$2:$F$33,'[1]Results export'!$C$2:$C$33))</f>
        <v>#N/A</v>
      </c>
      <c r="F19" t="s">
        <v>130</v>
      </c>
      <c r="G19" s="7">
        <f>_xlfn.XLOOKUP(A19,'[2]Results export'!$A$2:$A$42,'[2]Results export'!$R$2:$R$42)</f>
        <v>6.0606060606060606E-3</v>
      </c>
    </row>
    <row r="20" spans="1:7" x14ac:dyDescent="0.3">
      <c r="A20" s="3">
        <v>43081554</v>
      </c>
      <c r="B20" s="5">
        <v>46230.316782407404</v>
      </c>
      <c r="C20" s="3" t="s">
        <v>122</v>
      </c>
      <c r="D20" t="e">
        <f>IF(C20="NOT BAN","",_xlfn.XLOOKUP(A20,'[1]Results export'!$F$2:$F$33,'[1]Results export'!$G$2:$G$33))</f>
        <v>#N/A</v>
      </c>
      <c r="E20" s="6" t="e">
        <f>IF(C20="NOT BAN","",_xlfn.XLOOKUP(A20,'[1]Results export'!$F$2:$F$33,'[1]Results export'!$C$2:$C$33))</f>
        <v>#N/A</v>
      </c>
      <c r="F20" t="s">
        <v>130</v>
      </c>
      <c r="G20" s="7">
        <f>_xlfn.XLOOKUP(A20,'[2]Results export'!$A$2:$A$42,'[2]Results export'!$R$2:$R$42)</f>
        <v>7.462686567164179E-3</v>
      </c>
    </row>
    <row r="21" spans="1:7" x14ac:dyDescent="0.3">
      <c r="A21" s="3">
        <v>43110506</v>
      </c>
      <c r="B21" s="5">
        <v>46231.34375</v>
      </c>
      <c r="C21" s="3" t="s">
        <v>121</v>
      </c>
      <c r="D21" t="str">
        <f>IF(C21="NOT BAN","",_xlfn.XLOOKUP(A21,'[1]Results export'!$F$2:$F$33,'[1]Results export'!$G$2:$G$33))</f>
        <v/>
      </c>
      <c r="E21" s="6" t="str">
        <f>IF(C21="NOT BAN","",_xlfn.XLOOKUP(A21,'[1]Results export'!$F$2:$F$33,'[1]Results export'!$C$2:$C$33))</f>
        <v/>
      </c>
      <c r="F21" t="s">
        <v>130</v>
      </c>
      <c r="G21" s="7">
        <f>_xlfn.XLOOKUP(A21,'[2]Results export'!$A$2:$A$42,'[2]Results export'!$R$2:$R$42)</f>
        <v>8.4033613445378148E-3</v>
      </c>
    </row>
    <row r="22" spans="1:7" x14ac:dyDescent="0.3">
      <c r="A22" s="3">
        <v>43138108</v>
      </c>
      <c r="B22" s="5">
        <v>46232.319733796299</v>
      </c>
      <c r="C22" s="3" t="s">
        <v>122</v>
      </c>
      <c r="D22" t="e">
        <f>IF(C22="NOT BAN","",_xlfn.XLOOKUP(A22,'[1]Results export'!$F$2:$F$33,'[1]Results export'!$G$2:$G$33))</f>
        <v>#N/A</v>
      </c>
      <c r="E22" s="6" t="e">
        <f>IF(C22="NOT BAN","",_xlfn.XLOOKUP(A22,'[1]Results export'!$F$2:$F$33,'[1]Results export'!$C$2:$C$33))</f>
        <v>#N/A</v>
      </c>
      <c r="F22" t="s">
        <v>130</v>
      </c>
      <c r="G22" s="7">
        <f>_xlfn.XLOOKUP(A22,'[2]Results export'!$A$2:$A$42,'[2]Results export'!$R$2:$R$42)</f>
        <v>0</v>
      </c>
    </row>
    <row r="23" spans="1:7" x14ac:dyDescent="0.3">
      <c r="A23" s="3">
        <v>43166702</v>
      </c>
      <c r="B23" s="5">
        <v>46233.295995370368</v>
      </c>
      <c r="C23" s="3" t="s">
        <v>122</v>
      </c>
      <c r="D23" t="e">
        <f>IF(C23="NOT BAN","",_xlfn.XLOOKUP(A23,'[1]Results export'!$F$2:$F$33,'[1]Results export'!$G$2:$G$33))</f>
        <v>#N/A</v>
      </c>
      <c r="E23" s="6" t="e">
        <f>IF(C23="NOT BAN","",_xlfn.XLOOKUP(A23,'[1]Results export'!$F$2:$F$33,'[1]Results export'!$C$2:$C$33))</f>
        <v>#N/A</v>
      </c>
      <c r="F23" t="s">
        <v>130</v>
      </c>
      <c r="G23" s="7">
        <f>_xlfn.XLOOKUP(A23,'[2]Results export'!$A$2:$A$42,'[2]Results export'!$R$2:$R$42)</f>
        <v>5.9523809523809521E-3</v>
      </c>
    </row>
    <row r="24" spans="1:7" x14ac:dyDescent="0.3">
      <c r="A24" s="3">
        <v>8200826</v>
      </c>
      <c r="B24" s="5">
        <v>43951.628587962965</v>
      </c>
      <c r="C24" s="3" t="s">
        <v>121</v>
      </c>
      <c r="D24" t="str">
        <f>IF(C24="NOT BAN","",_xlfn.XLOOKUP(A24,'[1]Results export'!$F$2:$F$33,'[1]Results export'!$G$2:$G$33))</f>
        <v/>
      </c>
      <c r="E24" s="6" t="str">
        <f>IF(C24="NOT BAN","",_xlfn.XLOOKUP(A24,'[1]Results export'!$F$2:$F$33,'[1]Results export'!$C$2:$C$33))</f>
        <v/>
      </c>
      <c r="F24" t="s">
        <v>131</v>
      </c>
      <c r="G24" s="7">
        <f>_xlfn.XLOOKUP(A24,'[2]Results export'!$A$2:$A$42,'[2]Results export'!$R$2:$R$42)</f>
        <v>0.19748610103940054</v>
      </c>
    </row>
    <row r="25" spans="1:7" x14ac:dyDescent="0.3">
      <c r="A25" s="3">
        <v>43230061</v>
      </c>
      <c r="B25" s="5">
        <v>46235.320451388892</v>
      </c>
      <c r="C25" s="3" t="s">
        <v>122</v>
      </c>
      <c r="D25" t="e">
        <f>IF(C25="NOT BAN","",_xlfn.XLOOKUP(A25,'[1]Results export'!$F$2:$F$33,'[1]Results export'!$G$2:$G$33))</f>
        <v>#N/A</v>
      </c>
      <c r="E25" s="6" t="e">
        <f>IF(C25="NOT BAN","",_xlfn.XLOOKUP(A25,'[1]Results export'!$F$2:$F$33,'[1]Results export'!$C$2:$C$33))</f>
        <v>#N/A</v>
      </c>
      <c r="F25" t="s">
        <v>130</v>
      </c>
      <c r="G25" s="7">
        <f>_xlfn.XLOOKUP(A25,'[2]Results export'!$A$2:$A$42,'[2]Results export'!$R$2:$R$42)</f>
        <v>0</v>
      </c>
    </row>
    <row r="26" spans="1:7" x14ac:dyDescent="0.3">
      <c r="A26" s="3">
        <v>43290314</v>
      </c>
      <c r="B26" s="5">
        <v>46237.319421296299</v>
      </c>
      <c r="C26" s="3" t="s">
        <v>122</v>
      </c>
      <c r="D26" t="e">
        <f>IF(C26="NOT BAN","",_xlfn.XLOOKUP(A26,'[1]Results export'!$F$2:$F$33,'[1]Results export'!$G$2:$G$33))</f>
        <v>#N/A</v>
      </c>
      <c r="E26" s="6" t="e">
        <f>IF(C26="NOT BAN","",_xlfn.XLOOKUP(A26,'[1]Results export'!$F$2:$F$33,'[1]Results export'!$C$2:$C$33))</f>
        <v>#N/A</v>
      </c>
      <c r="F26" t="s">
        <v>130</v>
      </c>
      <c r="G26" s="7">
        <f>_xlfn.XLOOKUP(A26,'[2]Results export'!$A$2:$A$42,'[2]Results export'!$R$2:$R$42)</f>
        <v>7.5187969924812026E-3</v>
      </c>
    </row>
    <row r="27" spans="1:7" x14ac:dyDescent="0.3">
      <c r="A27" s="3">
        <v>43319297</v>
      </c>
      <c r="B27" s="5">
        <v>46238.332465277781</v>
      </c>
      <c r="C27" s="3" t="s">
        <v>122</v>
      </c>
      <c r="D27" t="e">
        <f>IF(C27="NOT BAN","",_xlfn.XLOOKUP(A27,'[1]Results export'!$F$2:$F$33,'[1]Results export'!$G$2:$G$33))</f>
        <v>#N/A</v>
      </c>
      <c r="E27" s="6" t="e">
        <f>IF(C27="NOT BAN","",_xlfn.XLOOKUP(A27,'[1]Results export'!$F$2:$F$33,'[1]Results export'!$C$2:$C$33))</f>
        <v>#N/A</v>
      </c>
      <c r="F27" t="s">
        <v>130</v>
      </c>
      <c r="G27" s="7">
        <f>_xlfn.XLOOKUP(A27,'[2]Results export'!$A$2:$A$42,'[2]Results export'!$R$2:$R$42)</f>
        <v>0</v>
      </c>
    </row>
    <row r="28" spans="1:7" x14ac:dyDescent="0.3">
      <c r="A28" s="3">
        <v>43346700</v>
      </c>
      <c r="B28" s="5">
        <v>46239.324108796296</v>
      </c>
      <c r="C28" s="3" t="s">
        <v>122</v>
      </c>
      <c r="D28" t="e">
        <f>IF(C28="NOT BAN","",_xlfn.XLOOKUP(A28,'[1]Results export'!$F$2:$F$33,'[1]Results export'!$G$2:$G$33))</f>
        <v>#N/A</v>
      </c>
      <c r="E28" s="6" t="e">
        <f>IF(C28="NOT BAN","",_xlfn.XLOOKUP(A28,'[1]Results export'!$F$2:$F$33,'[1]Results export'!$C$2:$C$33))</f>
        <v>#N/A</v>
      </c>
      <c r="F28" t="s">
        <v>130</v>
      </c>
      <c r="G28" s="7">
        <f>_xlfn.XLOOKUP(A28,'[2]Results export'!$A$2:$A$42,'[2]Results export'!$R$2:$R$42)</f>
        <v>0</v>
      </c>
    </row>
    <row r="29" spans="1:7" x14ac:dyDescent="0.3">
      <c r="A29" s="3">
        <v>43374604</v>
      </c>
      <c r="B29" s="5">
        <v>46240.339444444442</v>
      </c>
      <c r="C29" s="3" t="s">
        <v>122</v>
      </c>
      <c r="D29" t="e">
        <f>IF(C29="NOT BAN","",_xlfn.XLOOKUP(A29,'[1]Results export'!$F$2:$F$33,'[1]Results export'!$G$2:$G$33))</f>
        <v>#N/A</v>
      </c>
      <c r="E29" s="6" t="e">
        <f>IF(C29="NOT BAN","",_xlfn.XLOOKUP(A29,'[1]Results export'!$F$2:$F$33,'[1]Results export'!$C$2:$C$33))</f>
        <v>#N/A</v>
      </c>
      <c r="F29" t="s">
        <v>130</v>
      </c>
      <c r="G29" s="7">
        <f>_xlfn.XLOOKUP(A29,'[2]Results export'!$A$2:$A$42,'[2]Results export'!$R$2:$R$42)</f>
        <v>0</v>
      </c>
    </row>
    <row r="30" spans="1:7" x14ac:dyDescent="0.3">
      <c r="A30" s="3">
        <v>43402439</v>
      </c>
      <c r="B30" s="5">
        <v>46241.331238425926</v>
      </c>
      <c r="C30" s="3" t="s">
        <v>122</v>
      </c>
      <c r="D30" t="e">
        <f>IF(C30="NOT BAN","",_xlfn.XLOOKUP(A30,'[1]Results export'!$F$2:$F$33,'[1]Results export'!$G$2:$G$33))</f>
        <v>#N/A</v>
      </c>
      <c r="E30" s="6" t="e">
        <f>IF(C30="NOT BAN","",_xlfn.XLOOKUP(A30,'[1]Results export'!$F$2:$F$33,'[1]Results export'!$C$2:$C$33))</f>
        <v>#N/A</v>
      </c>
      <c r="F30" t="s">
        <v>130</v>
      </c>
      <c r="G30" s="7">
        <f>_xlfn.XLOOKUP(A30,'[2]Results export'!$A$2:$A$42,'[2]Results export'!$R$2:$R$42)</f>
        <v>3.8461538461538464E-2</v>
      </c>
    </row>
    <row r="31" spans="1:7" x14ac:dyDescent="0.3">
      <c r="A31" s="3">
        <v>43430885</v>
      </c>
      <c r="B31" s="5">
        <v>46242.334328703706</v>
      </c>
      <c r="C31" s="3" t="s">
        <v>122</v>
      </c>
      <c r="D31" t="e">
        <f>IF(C31="NOT BAN","",_xlfn.XLOOKUP(A31,'[1]Results export'!$F$2:$F$33,'[1]Results export'!$G$2:$G$33))</f>
        <v>#N/A</v>
      </c>
      <c r="E31" s="6" t="e">
        <f>IF(C31="NOT BAN","",_xlfn.XLOOKUP(A31,'[1]Results export'!$F$2:$F$33,'[1]Results export'!$C$2:$C$33))</f>
        <v>#N/A</v>
      </c>
      <c r="F31" t="s">
        <v>130</v>
      </c>
      <c r="G31" s="7">
        <f>_xlfn.XLOOKUP(A31,'[2]Results export'!$A$2:$A$42,'[2]Results export'!$R$2:$R$42)</f>
        <v>0</v>
      </c>
    </row>
    <row r="32" spans="1:7" x14ac:dyDescent="0.3">
      <c r="A32" s="3">
        <v>43539274</v>
      </c>
      <c r="B32" s="5">
        <v>46246.331296296295</v>
      </c>
      <c r="C32" s="3" t="s">
        <v>122</v>
      </c>
      <c r="D32" t="e">
        <f>IF(C32="NOT BAN","",_xlfn.XLOOKUP(A32,'[1]Results export'!$F$2:$F$33,'[1]Results export'!$G$2:$G$33))</f>
        <v>#N/A</v>
      </c>
      <c r="E32" s="6" t="e">
        <f>IF(C32="NOT BAN","",_xlfn.XLOOKUP(A32,'[1]Results export'!$F$2:$F$33,'[1]Results export'!$C$2:$C$33))</f>
        <v>#N/A</v>
      </c>
      <c r="F32" t="s">
        <v>130</v>
      </c>
      <c r="G32" s="7">
        <f>_xlfn.XLOOKUP(A32,'[2]Results export'!$A$2:$A$42,'[2]Results export'!$R$2:$R$42)</f>
        <v>0</v>
      </c>
    </row>
    <row r="33" spans="1:7" x14ac:dyDescent="0.3">
      <c r="A33" s="3">
        <v>43566043</v>
      </c>
      <c r="B33" s="5">
        <v>46247.329143518517</v>
      </c>
      <c r="C33" s="3" t="s">
        <v>122</v>
      </c>
      <c r="D33" t="e">
        <f>IF(C33="NOT BAN","",_xlfn.XLOOKUP(A33,'[1]Results export'!$F$2:$F$33,'[1]Results export'!$G$2:$G$33))</f>
        <v>#N/A</v>
      </c>
      <c r="E33" s="6" t="e">
        <f>IF(C33="NOT BAN","",_xlfn.XLOOKUP(A33,'[1]Results export'!$F$2:$F$33,'[1]Results export'!$C$2:$C$33))</f>
        <v>#N/A</v>
      </c>
      <c r="F33" t="s">
        <v>130</v>
      </c>
      <c r="G33" s="7">
        <f>_xlfn.XLOOKUP(A33,'[2]Results export'!$A$2:$A$42,'[2]Results export'!$R$2:$R$42)</f>
        <v>7.1428571428571426E-3</v>
      </c>
    </row>
    <row r="34" spans="1:7" x14ac:dyDescent="0.3">
      <c r="A34" s="3">
        <v>43593087</v>
      </c>
      <c r="B34" s="5">
        <v>46248.336215277777</v>
      </c>
      <c r="C34" s="3" t="s">
        <v>122</v>
      </c>
      <c r="D34" t="e">
        <f>IF(C34="NOT BAN","",_xlfn.XLOOKUP(A34,'[1]Results export'!$F$2:$F$33,'[1]Results export'!$G$2:$G$33))</f>
        <v>#N/A</v>
      </c>
      <c r="E34" s="6" t="e">
        <f>IF(C34="NOT BAN","",_xlfn.XLOOKUP(A34,'[1]Results export'!$F$2:$F$33,'[1]Results export'!$C$2:$C$33))</f>
        <v>#N/A</v>
      </c>
      <c r="F34" t="s">
        <v>130</v>
      </c>
      <c r="G34" s="7">
        <f>_xlfn.XLOOKUP(A34,'[2]Results export'!$A$2:$A$42,'[2]Results export'!$R$2:$R$42)</f>
        <v>0</v>
      </c>
    </row>
    <row r="35" spans="1:7" x14ac:dyDescent="0.3">
      <c r="A35" s="3">
        <v>43614456</v>
      </c>
      <c r="B35" s="5">
        <v>46248.851631944446</v>
      </c>
      <c r="C35" s="3" t="s">
        <v>122</v>
      </c>
      <c r="D35" t="e">
        <f>IF(C35="NOT BAN","",_xlfn.XLOOKUP(A35,'[1]Results export'!$F$2:$F$33,'[1]Results export'!$G$2:$G$33))</f>
        <v>#N/A</v>
      </c>
      <c r="E35" s="6" t="e">
        <f>IF(C35="NOT BAN","",_xlfn.XLOOKUP(A35,'[1]Results export'!$F$2:$F$33,'[1]Results export'!$C$2:$C$33))</f>
        <v>#N/A</v>
      </c>
      <c r="F35" t="s">
        <v>130</v>
      </c>
      <c r="G35" s="7">
        <f>_xlfn.XLOOKUP(A35,'[2]Results export'!$A$2:$A$42,'[2]Results export'!$R$2:$R$42)</f>
        <v>1.0638297872340425E-2</v>
      </c>
    </row>
    <row r="36" spans="1:7" x14ac:dyDescent="0.3">
      <c r="A36" s="3">
        <v>43674483</v>
      </c>
      <c r="B36" s="5">
        <v>46251.327719907407</v>
      </c>
      <c r="C36" s="3" t="s">
        <v>122</v>
      </c>
      <c r="D36" t="e">
        <f>IF(C36="NOT BAN","",_xlfn.XLOOKUP(A36,'[1]Results export'!$F$2:$F$33,'[1]Results export'!$G$2:$G$33))</f>
        <v>#N/A</v>
      </c>
      <c r="E36" s="6" t="e">
        <f>IF(C36="NOT BAN","",_xlfn.XLOOKUP(A36,'[1]Results export'!$F$2:$F$33,'[1]Results export'!$C$2:$C$33))</f>
        <v>#N/A</v>
      </c>
      <c r="F36" t="s">
        <v>130</v>
      </c>
      <c r="G36" s="7">
        <f>_xlfn.XLOOKUP(A36,'[2]Results export'!$A$2:$A$42,'[2]Results export'!$R$2:$R$42)</f>
        <v>9.9009900990099011E-3</v>
      </c>
    </row>
    <row r="37" spans="1:7" x14ac:dyDescent="0.3">
      <c r="A37" s="3">
        <v>43862968</v>
      </c>
      <c r="B37" s="5">
        <v>46258.331458333334</v>
      </c>
      <c r="C37" s="3" t="s">
        <v>122</v>
      </c>
      <c r="D37" t="e">
        <f>IF(C37="NOT BAN","",_xlfn.XLOOKUP(A37,'[1]Results export'!$F$2:$F$33,'[1]Results export'!$G$2:$G$33))</f>
        <v>#N/A</v>
      </c>
      <c r="E37" s="6" t="e">
        <f>IF(C37="NOT BAN","",_xlfn.XLOOKUP(A37,'[1]Results export'!$F$2:$F$33,'[1]Results export'!$C$2:$C$33))</f>
        <v>#N/A</v>
      </c>
      <c r="F37" t="s">
        <v>130</v>
      </c>
      <c r="G37" s="7">
        <f>_xlfn.XLOOKUP(A37,'[2]Results export'!$A$2:$A$42,'[2]Results export'!$R$2:$R$42)</f>
        <v>6.9444444444444441E-3</v>
      </c>
    </row>
    <row r="38" spans="1:7" x14ac:dyDescent="0.3">
      <c r="A38" s="3">
        <v>43891958</v>
      </c>
      <c r="B38" s="5">
        <v>46259.325914351852</v>
      </c>
      <c r="C38" s="3" t="s">
        <v>122</v>
      </c>
      <c r="D38" t="e">
        <f>IF(C38="NOT BAN","",_xlfn.XLOOKUP(A38,'[1]Results export'!$F$2:$F$33,'[1]Results export'!$G$2:$G$33))</f>
        <v>#N/A</v>
      </c>
      <c r="E38" s="6" t="e">
        <f>IF(C38="NOT BAN","",_xlfn.XLOOKUP(A38,'[1]Results export'!$F$2:$F$33,'[1]Results export'!$C$2:$C$33))</f>
        <v>#N/A</v>
      </c>
      <c r="F38" t="s">
        <v>130</v>
      </c>
      <c r="G38" s="7">
        <f>_xlfn.XLOOKUP(A38,'[2]Results export'!$A$2:$A$42,'[2]Results export'!$R$2:$R$42)</f>
        <v>8.2644628099173556E-3</v>
      </c>
    </row>
    <row r="39" spans="1:7" x14ac:dyDescent="0.3">
      <c r="A39" s="3">
        <v>43920615</v>
      </c>
      <c r="B39" s="5">
        <v>46260.329965277779</v>
      </c>
      <c r="C39" s="3" t="s">
        <v>122</v>
      </c>
      <c r="D39" t="e">
        <f>IF(C39="NOT BAN","",_xlfn.XLOOKUP(A39,'[1]Results export'!$F$2:$F$33,'[1]Results export'!$G$2:$G$33))</f>
        <v>#N/A</v>
      </c>
      <c r="E39" s="6" t="e">
        <f>IF(C39="NOT BAN","",_xlfn.XLOOKUP(A39,'[1]Results export'!$F$2:$F$33,'[1]Results export'!$C$2:$C$33))</f>
        <v>#N/A</v>
      </c>
      <c r="F39" t="s">
        <v>130</v>
      </c>
      <c r="G39" s="7">
        <f>_xlfn.XLOOKUP(A39,'[2]Results export'!$A$2:$A$42,'[2]Results export'!$R$2:$R$42)</f>
        <v>0</v>
      </c>
    </row>
    <row r="40" spans="1:7" x14ac:dyDescent="0.3">
      <c r="A40" s="3">
        <v>43949404</v>
      </c>
      <c r="B40" s="5">
        <v>46261.33803240741</v>
      </c>
      <c r="C40" s="3" t="s">
        <v>122</v>
      </c>
      <c r="D40" t="e">
        <f>IF(C40="NOT BAN","",_xlfn.XLOOKUP(A40,'[1]Results export'!$F$2:$F$33,'[1]Results export'!$G$2:$G$33))</f>
        <v>#N/A</v>
      </c>
      <c r="E40" s="6" t="e">
        <f>IF(C40="NOT BAN","",_xlfn.XLOOKUP(A40,'[1]Results export'!$F$2:$F$33,'[1]Results export'!$C$2:$C$33))</f>
        <v>#N/A</v>
      </c>
      <c r="F40" t="s">
        <v>130</v>
      </c>
      <c r="G40" s="7">
        <f>_xlfn.XLOOKUP(A40,'[2]Results export'!$A$2:$A$42,'[2]Results export'!$R$2:$R$42)</f>
        <v>0</v>
      </c>
    </row>
    <row r="41" spans="1:7" x14ac:dyDescent="0.3">
      <c r="A41" s="3">
        <v>43978801</v>
      </c>
      <c r="B41" s="5">
        <v>46262.335601851853</v>
      </c>
      <c r="C41" s="3" t="s">
        <v>122</v>
      </c>
      <c r="D41" t="e">
        <f>IF(C41="NOT BAN","",_xlfn.XLOOKUP(A41,'[1]Results export'!$F$2:$F$33,'[1]Results export'!$G$2:$G$33))</f>
        <v>#N/A</v>
      </c>
      <c r="E41" s="6" t="e">
        <f>IF(C41="NOT BAN","",_xlfn.XLOOKUP(A41,'[1]Results export'!$F$2:$F$33,'[1]Results export'!$C$2:$C$33))</f>
        <v>#N/A</v>
      </c>
      <c r="F41" t="s">
        <v>130</v>
      </c>
      <c r="G41" s="7">
        <f>_xlfn.XLOOKUP(A41,'[2]Results export'!$A$2:$A$42,'[2]Results export'!$R$2:$R$42)</f>
        <v>0</v>
      </c>
    </row>
    <row r="42" spans="1:7" x14ac:dyDescent="0.3">
      <c r="A42" s="3">
        <v>44010401</v>
      </c>
      <c r="B42" s="5">
        <v>46263.330763888887</v>
      </c>
      <c r="C42" s="3" t="s">
        <v>122</v>
      </c>
      <c r="D42" t="e">
        <f>IF(C42="NOT BAN","",_xlfn.XLOOKUP(A42,'[1]Results export'!$F$2:$F$33,'[1]Results export'!$G$2:$G$33))</f>
        <v>#N/A</v>
      </c>
      <c r="E42" s="6" t="e">
        <f>IF(C42="NOT BAN","",_xlfn.XLOOKUP(A42,'[1]Results export'!$F$2:$F$33,'[1]Results export'!$C$2:$C$33))</f>
        <v>#N/A</v>
      </c>
      <c r="F42" t="s">
        <v>130</v>
      </c>
      <c r="G42" s="7">
        <f>_xlfn.XLOOKUP(A42,'[2]Results export'!$A$2:$A$42,'[2]Results export'!$R$2:$R$42)</f>
        <v>0</v>
      </c>
    </row>
  </sheetData>
  <autoFilter ref="A1:G42" xr:uid="{DB011E51-5698-4F7F-B1C8-99B7D0DBCA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C4BF-6827-4C36-8E4A-9DB98CA460B6}">
  <dimension ref="A1:O23"/>
  <sheetViews>
    <sheetView workbookViewId="0"/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42372845</v>
      </c>
      <c r="B2">
        <v>1</v>
      </c>
      <c r="C2">
        <v>19</v>
      </c>
      <c r="D2">
        <v>10</v>
      </c>
      <c r="E2">
        <v>7</v>
      </c>
      <c r="F2">
        <v>0</v>
      </c>
      <c r="G2">
        <v>0</v>
      </c>
      <c r="H2">
        <v>37</v>
      </c>
      <c r="I2" t="s">
        <v>15</v>
      </c>
      <c r="J2">
        <v>14</v>
      </c>
      <c r="K2">
        <v>37</v>
      </c>
      <c r="L2">
        <v>1</v>
      </c>
      <c r="M2">
        <v>8</v>
      </c>
      <c r="N2" t="s">
        <v>16</v>
      </c>
      <c r="O2" t="s">
        <v>17</v>
      </c>
    </row>
    <row r="3" spans="1:15" x14ac:dyDescent="0.3">
      <c r="A3">
        <v>42381392</v>
      </c>
      <c r="B3">
        <v>1</v>
      </c>
      <c r="C3">
        <v>86</v>
      </c>
      <c r="D3">
        <v>21</v>
      </c>
      <c r="E3">
        <v>6</v>
      </c>
      <c r="F3">
        <v>0</v>
      </c>
      <c r="G3">
        <v>1</v>
      </c>
      <c r="H3">
        <v>115</v>
      </c>
      <c r="I3" t="s">
        <v>18</v>
      </c>
      <c r="J3">
        <v>58</v>
      </c>
      <c r="K3">
        <v>115</v>
      </c>
      <c r="L3">
        <v>0</v>
      </c>
      <c r="M3">
        <v>11</v>
      </c>
      <c r="N3" t="s">
        <v>19</v>
      </c>
      <c r="O3" t="s">
        <v>20</v>
      </c>
    </row>
    <row r="4" spans="1:15" x14ac:dyDescent="0.3">
      <c r="A4">
        <v>42406507</v>
      </c>
      <c r="B4">
        <v>1</v>
      </c>
      <c r="C4">
        <v>184</v>
      </c>
      <c r="D4">
        <v>46</v>
      </c>
      <c r="E4">
        <v>27</v>
      </c>
      <c r="F4">
        <v>1</v>
      </c>
      <c r="G4">
        <v>3</v>
      </c>
      <c r="H4">
        <v>262</v>
      </c>
      <c r="I4" t="s">
        <v>21</v>
      </c>
      <c r="J4">
        <v>66</v>
      </c>
      <c r="K4">
        <v>262</v>
      </c>
      <c r="L4">
        <v>0</v>
      </c>
      <c r="M4">
        <v>38</v>
      </c>
      <c r="N4" t="s">
        <v>19</v>
      </c>
      <c r="O4" t="s">
        <v>22</v>
      </c>
    </row>
    <row r="5" spans="1:15" x14ac:dyDescent="0.3">
      <c r="A5">
        <v>42426592</v>
      </c>
      <c r="B5">
        <v>1</v>
      </c>
      <c r="C5">
        <v>128</v>
      </c>
      <c r="D5">
        <v>54</v>
      </c>
      <c r="E5">
        <v>19</v>
      </c>
      <c r="F5">
        <v>1</v>
      </c>
      <c r="G5">
        <v>1</v>
      </c>
      <c r="H5">
        <v>204</v>
      </c>
      <c r="I5" t="s">
        <v>23</v>
      </c>
      <c r="J5">
        <v>70</v>
      </c>
      <c r="K5">
        <v>204</v>
      </c>
      <c r="L5">
        <v>0</v>
      </c>
      <c r="M5">
        <v>55</v>
      </c>
      <c r="N5" t="s">
        <v>19</v>
      </c>
      <c r="O5" t="s">
        <v>24</v>
      </c>
    </row>
    <row r="6" spans="1:15" x14ac:dyDescent="0.3">
      <c r="A6">
        <v>42426641</v>
      </c>
      <c r="B6">
        <v>1</v>
      </c>
      <c r="C6">
        <v>178</v>
      </c>
      <c r="D6">
        <v>25</v>
      </c>
      <c r="E6">
        <v>8</v>
      </c>
      <c r="F6">
        <v>2</v>
      </c>
      <c r="G6">
        <v>1</v>
      </c>
      <c r="H6">
        <v>215</v>
      </c>
      <c r="I6" t="s">
        <v>25</v>
      </c>
      <c r="J6">
        <v>125</v>
      </c>
      <c r="K6">
        <v>215</v>
      </c>
      <c r="L6">
        <v>0</v>
      </c>
      <c r="M6">
        <v>29</v>
      </c>
      <c r="N6" t="s">
        <v>19</v>
      </c>
      <c r="O6" t="s">
        <v>26</v>
      </c>
    </row>
    <row r="7" spans="1:15" x14ac:dyDescent="0.3">
      <c r="A7">
        <v>42458992</v>
      </c>
      <c r="B7">
        <v>1</v>
      </c>
      <c r="C7">
        <v>22</v>
      </c>
      <c r="D7">
        <v>2</v>
      </c>
      <c r="E7">
        <v>1</v>
      </c>
      <c r="F7">
        <v>0</v>
      </c>
      <c r="G7">
        <v>0</v>
      </c>
      <c r="H7">
        <v>26</v>
      </c>
      <c r="I7" t="s">
        <v>27</v>
      </c>
      <c r="J7">
        <v>17</v>
      </c>
      <c r="K7">
        <v>26</v>
      </c>
      <c r="L7">
        <v>0</v>
      </c>
      <c r="M7">
        <v>1</v>
      </c>
      <c r="N7" t="s">
        <v>19</v>
      </c>
      <c r="O7" t="s">
        <v>28</v>
      </c>
    </row>
    <row r="8" spans="1:15" x14ac:dyDescent="0.3">
      <c r="A8">
        <v>42459041</v>
      </c>
      <c r="B8">
        <v>1</v>
      </c>
      <c r="C8">
        <v>12</v>
      </c>
      <c r="D8">
        <v>8</v>
      </c>
      <c r="E8">
        <v>2</v>
      </c>
      <c r="F8">
        <v>0</v>
      </c>
      <c r="G8">
        <v>0</v>
      </c>
      <c r="H8">
        <v>23</v>
      </c>
      <c r="I8" t="s">
        <v>29</v>
      </c>
      <c r="J8">
        <v>7</v>
      </c>
      <c r="K8">
        <v>23</v>
      </c>
      <c r="L8">
        <v>0</v>
      </c>
      <c r="M8">
        <v>6</v>
      </c>
      <c r="N8" t="s">
        <v>19</v>
      </c>
      <c r="O8" t="s">
        <v>30</v>
      </c>
    </row>
    <row r="9" spans="1:15" x14ac:dyDescent="0.3">
      <c r="A9">
        <v>42459099</v>
      </c>
      <c r="B9">
        <v>1</v>
      </c>
      <c r="C9">
        <v>47</v>
      </c>
      <c r="D9">
        <v>0</v>
      </c>
      <c r="E9">
        <v>0</v>
      </c>
      <c r="F9">
        <v>0</v>
      </c>
      <c r="G9">
        <v>1</v>
      </c>
      <c r="H9">
        <v>49</v>
      </c>
      <c r="I9" t="s">
        <v>31</v>
      </c>
      <c r="J9">
        <v>19</v>
      </c>
      <c r="K9">
        <v>49</v>
      </c>
      <c r="L9">
        <v>0</v>
      </c>
      <c r="M9">
        <v>4</v>
      </c>
      <c r="N9" t="s">
        <v>19</v>
      </c>
      <c r="O9" t="s">
        <v>32</v>
      </c>
    </row>
    <row r="10" spans="1:15" x14ac:dyDescent="0.3">
      <c r="A10">
        <v>42459241</v>
      </c>
      <c r="B10">
        <v>1</v>
      </c>
      <c r="C10">
        <v>37</v>
      </c>
      <c r="D10">
        <v>22</v>
      </c>
      <c r="E10">
        <v>6</v>
      </c>
      <c r="F10">
        <v>0</v>
      </c>
      <c r="G10">
        <v>2</v>
      </c>
      <c r="H10">
        <v>68</v>
      </c>
      <c r="I10" t="s">
        <v>33</v>
      </c>
      <c r="J10">
        <v>18</v>
      </c>
      <c r="K10">
        <v>68</v>
      </c>
      <c r="L10">
        <v>0</v>
      </c>
      <c r="M10">
        <v>35</v>
      </c>
      <c r="N10" t="s">
        <v>19</v>
      </c>
      <c r="O10" t="s">
        <v>34</v>
      </c>
    </row>
    <row r="11" spans="1:15" x14ac:dyDescent="0.3">
      <c r="A11">
        <v>42459298</v>
      </c>
      <c r="B11">
        <v>1</v>
      </c>
      <c r="C11">
        <v>20</v>
      </c>
      <c r="D11">
        <v>3</v>
      </c>
      <c r="E11">
        <v>1</v>
      </c>
      <c r="F11">
        <v>0</v>
      </c>
      <c r="G11">
        <v>1</v>
      </c>
      <c r="H11">
        <v>26</v>
      </c>
      <c r="I11" t="s">
        <v>35</v>
      </c>
      <c r="J11">
        <v>15</v>
      </c>
      <c r="K11">
        <v>26</v>
      </c>
      <c r="L11">
        <v>0</v>
      </c>
      <c r="M11">
        <v>2</v>
      </c>
      <c r="N11" t="s">
        <v>19</v>
      </c>
      <c r="O11" t="s">
        <v>36</v>
      </c>
    </row>
    <row r="12" spans="1:15" x14ac:dyDescent="0.3">
      <c r="A12">
        <v>42463024</v>
      </c>
      <c r="B12">
        <v>1</v>
      </c>
      <c r="C12">
        <v>301</v>
      </c>
      <c r="D12">
        <v>31</v>
      </c>
      <c r="E12">
        <v>11</v>
      </c>
      <c r="F12">
        <v>4</v>
      </c>
      <c r="G12">
        <v>5</v>
      </c>
      <c r="H12">
        <v>353</v>
      </c>
      <c r="I12" t="s">
        <v>37</v>
      </c>
      <c r="J12">
        <v>103</v>
      </c>
      <c r="K12">
        <v>353</v>
      </c>
      <c r="L12">
        <v>0</v>
      </c>
      <c r="M12">
        <v>53</v>
      </c>
      <c r="N12" t="s">
        <v>19</v>
      </c>
      <c r="O12" t="s">
        <v>38</v>
      </c>
    </row>
    <row r="13" spans="1:15" x14ac:dyDescent="0.3">
      <c r="A13">
        <v>42463063</v>
      </c>
      <c r="B13">
        <v>1</v>
      </c>
      <c r="C13">
        <v>209</v>
      </c>
      <c r="D13">
        <v>8</v>
      </c>
      <c r="E13">
        <v>7</v>
      </c>
      <c r="F13">
        <v>1</v>
      </c>
      <c r="G13">
        <v>2</v>
      </c>
      <c r="H13">
        <v>228</v>
      </c>
      <c r="I13" t="s">
        <v>39</v>
      </c>
      <c r="J13">
        <v>100</v>
      </c>
      <c r="K13">
        <v>228</v>
      </c>
      <c r="L13">
        <v>0</v>
      </c>
      <c r="M13">
        <v>108</v>
      </c>
      <c r="N13" t="s">
        <v>19</v>
      </c>
      <c r="O13" t="s">
        <v>40</v>
      </c>
    </row>
    <row r="14" spans="1:15" x14ac:dyDescent="0.3">
      <c r="A14">
        <v>42705635</v>
      </c>
      <c r="B14">
        <v>1</v>
      </c>
      <c r="C14">
        <v>110</v>
      </c>
      <c r="D14">
        <v>60</v>
      </c>
      <c r="E14">
        <v>21</v>
      </c>
      <c r="F14">
        <v>2</v>
      </c>
      <c r="G14">
        <v>1</v>
      </c>
      <c r="H14">
        <v>195</v>
      </c>
      <c r="I14" t="s">
        <v>41</v>
      </c>
      <c r="J14">
        <v>65</v>
      </c>
      <c r="K14">
        <v>195</v>
      </c>
      <c r="L14">
        <v>3</v>
      </c>
      <c r="M14">
        <v>20</v>
      </c>
      <c r="N14" t="s">
        <v>42</v>
      </c>
      <c r="O14" t="s">
        <v>43</v>
      </c>
    </row>
    <row r="15" spans="1:15" x14ac:dyDescent="0.3">
      <c r="A15">
        <v>42731028</v>
      </c>
      <c r="B15">
        <v>1</v>
      </c>
      <c r="C15">
        <v>167</v>
      </c>
      <c r="D15">
        <v>20</v>
      </c>
      <c r="E15">
        <v>12</v>
      </c>
      <c r="F15">
        <v>1</v>
      </c>
      <c r="G15">
        <v>0</v>
      </c>
      <c r="H15">
        <v>201</v>
      </c>
      <c r="I15" t="s">
        <v>44</v>
      </c>
      <c r="J15">
        <v>99</v>
      </c>
      <c r="K15">
        <v>201</v>
      </c>
      <c r="L15">
        <v>1</v>
      </c>
      <c r="M15">
        <v>15</v>
      </c>
      <c r="N15" t="s">
        <v>45</v>
      </c>
      <c r="O15" t="s">
        <v>46</v>
      </c>
    </row>
    <row r="16" spans="1:15" x14ac:dyDescent="0.3">
      <c r="A16">
        <v>42913719</v>
      </c>
      <c r="B16">
        <v>1</v>
      </c>
      <c r="C16">
        <v>148</v>
      </c>
      <c r="D16">
        <v>36</v>
      </c>
      <c r="E16">
        <v>10</v>
      </c>
      <c r="F16">
        <v>0</v>
      </c>
      <c r="G16">
        <v>1</v>
      </c>
      <c r="H16">
        <v>196</v>
      </c>
      <c r="I16" t="s">
        <v>47</v>
      </c>
      <c r="J16">
        <v>142</v>
      </c>
      <c r="K16">
        <v>196</v>
      </c>
      <c r="L16">
        <v>1</v>
      </c>
      <c r="M16">
        <v>25</v>
      </c>
      <c r="N16" t="s">
        <v>48</v>
      </c>
      <c r="O16" t="s">
        <v>49</v>
      </c>
    </row>
    <row r="17" spans="1:15" x14ac:dyDescent="0.3">
      <c r="A17">
        <v>42971568</v>
      </c>
      <c r="B17">
        <v>1</v>
      </c>
      <c r="C17">
        <v>102</v>
      </c>
      <c r="D17">
        <v>23</v>
      </c>
      <c r="E17">
        <v>6</v>
      </c>
      <c r="F17">
        <v>0</v>
      </c>
      <c r="G17">
        <v>0</v>
      </c>
      <c r="H17">
        <v>132</v>
      </c>
      <c r="I17" t="s">
        <v>50</v>
      </c>
      <c r="J17">
        <v>97</v>
      </c>
      <c r="K17">
        <v>132</v>
      </c>
      <c r="L17">
        <v>2</v>
      </c>
      <c r="M17">
        <v>12</v>
      </c>
      <c r="N17" t="s">
        <v>51</v>
      </c>
      <c r="O17" t="s">
        <v>52</v>
      </c>
    </row>
    <row r="18" spans="1:15" x14ac:dyDescent="0.3">
      <c r="A18">
        <v>42997602</v>
      </c>
      <c r="B18">
        <v>1</v>
      </c>
      <c r="C18">
        <v>148</v>
      </c>
      <c r="D18">
        <v>33</v>
      </c>
      <c r="E18">
        <v>13</v>
      </c>
      <c r="F18">
        <v>2</v>
      </c>
      <c r="G18">
        <v>0</v>
      </c>
      <c r="H18">
        <v>197</v>
      </c>
      <c r="I18" t="s">
        <v>53</v>
      </c>
      <c r="J18">
        <v>97</v>
      </c>
      <c r="K18">
        <v>197</v>
      </c>
      <c r="L18">
        <v>1</v>
      </c>
      <c r="M18">
        <v>17</v>
      </c>
      <c r="N18" t="s">
        <v>48</v>
      </c>
      <c r="O18" t="s">
        <v>54</v>
      </c>
    </row>
    <row r="19" spans="1:15" x14ac:dyDescent="0.3">
      <c r="A19">
        <v>43022614</v>
      </c>
      <c r="B19">
        <v>1</v>
      </c>
      <c r="C19">
        <v>114</v>
      </c>
      <c r="D19">
        <v>31</v>
      </c>
      <c r="E19">
        <v>18</v>
      </c>
      <c r="F19">
        <v>0</v>
      </c>
      <c r="G19">
        <v>1</v>
      </c>
      <c r="H19">
        <v>165</v>
      </c>
      <c r="I19" t="s">
        <v>55</v>
      </c>
      <c r="J19">
        <v>109</v>
      </c>
      <c r="K19">
        <v>165</v>
      </c>
      <c r="L19">
        <v>1</v>
      </c>
      <c r="M19">
        <v>35</v>
      </c>
      <c r="N19" t="s">
        <v>56</v>
      </c>
      <c r="O19" t="s">
        <v>57</v>
      </c>
    </row>
    <row r="20" spans="1:15" x14ac:dyDescent="0.3">
      <c r="A20">
        <v>43081554</v>
      </c>
      <c r="B20">
        <v>1</v>
      </c>
      <c r="C20">
        <v>73</v>
      </c>
      <c r="D20">
        <v>40</v>
      </c>
      <c r="E20">
        <v>20</v>
      </c>
      <c r="F20">
        <v>0</v>
      </c>
      <c r="G20">
        <v>0</v>
      </c>
      <c r="H20">
        <v>134</v>
      </c>
      <c r="I20" t="s">
        <v>58</v>
      </c>
      <c r="J20">
        <v>66</v>
      </c>
      <c r="K20">
        <v>134</v>
      </c>
      <c r="L20">
        <v>1</v>
      </c>
      <c r="M20">
        <v>24</v>
      </c>
      <c r="N20" t="s">
        <v>59</v>
      </c>
      <c r="O20" t="s">
        <v>60</v>
      </c>
    </row>
    <row r="21" spans="1:15" x14ac:dyDescent="0.3">
      <c r="A21">
        <v>43110506</v>
      </c>
      <c r="B21">
        <v>1</v>
      </c>
      <c r="C21">
        <v>86</v>
      </c>
      <c r="D21">
        <v>22</v>
      </c>
      <c r="E21">
        <v>8</v>
      </c>
      <c r="F21">
        <v>2</v>
      </c>
      <c r="G21">
        <v>0</v>
      </c>
      <c r="H21">
        <v>119</v>
      </c>
      <c r="I21" t="s">
        <v>61</v>
      </c>
      <c r="J21">
        <v>81</v>
      </c>
      <c r="K21">
        <v>119</v>
      </c>
      <c r="L21">
        <v>1</v>
      </c>
      <c r="M21">
        <v>18</v>
      </c>
      <c r="N21" t="s">
        <v>62</v>
      </c>
      <c r="O21" t="s">
        <v>63</v>
      </c>
    </row>
    <row r="22" spans="1:15" x14ac:dyDescent="0.3">
      <c r="A22">
        <v>43138108</v>
      </c>
      <c r="B22">
        <v>1</v>
      </c>
      <c r="C22">
        <v>102</v>
      </c>
      <c r="D22">
        <v>38</v>
      </c>
      <c r="E22">
        <v>12</v>
      </c>
      <c r="F22">
        <v>2</v>
      </c>
      <c r="G22">
        <v>0</v>
      </c>
      <c r="H22">
        <v>155</v>
      </c>
      <c r="I22" t="s">
        <v>64</v>
      </c>
      <c r="J22">
        <v>76</v>
      </c>
      <c r="K22">
        <v>155</v>
      </c>
      <c r="L22">
        <v>0</v>
      </c>
      <c r="M22">
        <v>25</v>
      </c>
      <c r="N22" t="s">
        <v>19</v>
      </c>
      <c r="O22" t="s">
        <v>65</v>
      </c>
    </row>
    <row r="23" spans="1:15" x14ac:dyDescent="0.3">
      <c r="A23">
        <v>43166702</v>
      </c>
      <c r="B23">
        <v>1</v>
      </c>
      <c r="C23">
        <v>107</v>
      </c>
      <c r="D23">
        <v>47</v>
      </c>
      <c r="E23">
        <v>11</v>
      </c>
      <c r="F23">
        <v>2</v>
      </c>
      <c r="G23">
        <v>0</v>
      </c>
      <c r="H23">
        <v>168</v>
      </c>
      <c r="I23" t="s">
        <v>66</v>
      </c>
      <c r="J23">
        <v>81</v>
      </c>
      <c r="K23">
        <v>168</v>
      </c>
      <c r="L23">
        <v>1</v>
      </c>
      <c r="M23">
        <v>15</v>
      </c>
      <c r="N23" t="s">
        <v>67</v>
      </c>
      <c r="O2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4E66-FBE9-4925-8D98-3112F0EA52DB}">
  <dimension ref="A1:O20"/>
  <sheetViews>
    <sheetView workbookViewId="0">
      <selection activeCell="I2" sqref="I2:J2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8.109375" bestFit="1" customWidth="1"/>
    <col min="5" max="5" width="8.6640625" bestFit="1" customWidth="1"/>
    <col min="6" max="6" width="9.6640625" bestFit="1" customWidth="1"/>
    <col min="7" max="7" width="7" bestFit="1" customWidth="1"/>
    <col min="8" max="8" width="5.21875" bestFit="1" customWidth="1"/>
    <col min="9" max="9" width="14.21875" bestFit="1" customWidth="1"/>
    <col min="10" max="10" width="13.44140625" bestFit="1" customWidth="1"/>
    <col min="11" max="11" width="16.88671875" bestFit="1" customWidth="1"/>
    <col min="12" max="12" width="19.44140625" bestFit="1" customWidth="1"/>
    <col min="13" max="13" width="16.88671875" bestFit="1" customWidth="1"/>
    <col min="14" max="14" width="14.77734375" bestFit="1" customWidth="1"/>
    <col min="15" max="15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8200826</v>
      </c>
      <c r="B2">
        <v>1</v>
      </c>
      <c r="C2">
        <v>134</v>
      </c>
      <c r="D2">
        <v>27</v>
      </c>
      <c r="E2">
        <v>33</v>
      </c>
      <c r="F2">
        <v>28</v>
      </c>
      <c r="G2">
        <v>36</v>
      </c>
      <c r="H2">
        <v>259</v>
      </c>
      <c r="I2" t="s">
        <v>69</v>
      </c>
      <c r="J2">
        <v>6</v>
      </c>
      <c r="K2">
        <v>4116</v>
      </c>
      <c r="L2">
        <v>816</v>
      </c>
      <c r="M2">
        <v>2050</v>
      </c>
      <c r="N2" t="s">
        <v>117</v>
      </c>
      <c r="O2" t="s">
        <v>118</v>
      </c>
    </row>
    <row r="3" spans="1:15" x14ac:dyDescent="0.3">
      <c r="A3">
        <v>43230061</v>
      </c>
      <c r="B3">
        <v>1</v>
      </c>
      <c r="C3">
        <v>91</v>
      </c>
      <c r="D3">
        <v>33</v>
      </c>
      <c r="E3">
        <v>4</v>
      </c>
      <c r="F3">
        <v>0</v>
      </c>
      <c r="G3">
        <v>1</v>
      </c>
      <c r="H3">
        <v>130</v>
      </c>
      <c r="I3" t="s">
        <v>70</v>
      </c>
      <c r="J3">
        <v>77</v>
      </c>
      <c r="K3">
        <v>130</v>
      </c>
      <c r="L3">
        <v>0</v>
      </c>
      <c r="M3">
        <v>54</v>
      </c>
      <c r="N3" t="s">
        <v>19</v>
      </c>
      <c r="O3" t="s">
        <v>71</v>
      </c>
    </row>
    <row r="4" spans="1:15" x14ac:dyDescent="0.3">
      <c r="A4">
        <v>43290314</v>
      </c>
      <c r="B4">
        <v>1</v>
      </c>
      <c r="C4">
        <v>88</v>
      </c>
      <c r="D4">
        <v>34</v>
      </c>
      <c r="E4">
        <v>9</v>
      </c>
      <c r="F4">
        <v>0</v>
      </c>
      <c r="G4">
        <v>1</v>
      </c>
      <c r="H4">
        <v>133</v>
      </c>
      <c r="I4" t="s">
        <v>72</v>
      </c>
      <c r="J4">
        <v>72</v>
      </c>
      <c r="K4">
        <v>133</v>
      </c>
      <c r="L4">
        <v>1</v>
      </c>
      <c r="M4">
        <v>30</v>
      </c>
      <c r="N4" t="s">
        <v>59</v>
      </c>
      <c r="O4" t="s">
        <v>73</v>
      </c>
    </row>
    <row r="5" spans="1:15" x14ac:dyDescent="0.3">
      <c r="A5">
        <v>43319297</v>
      </c>
      <c r="B5">
        <v>1</v>
      </c>
      <c r="C5">
        <v>63</v>
      </c>
      <c r="D5">
        <v>26</v>
      </c>
      <c r="E5">
        <v>9</v>
      </c>
      <c r="F5">
        <v>2</v>
      </c>
      <c r="G5">
        <v>0</v>
      </c>
      <c r="H5">
        <v>101</v>
      </c>
      <c r="I5" t="s">
        <v>74</v>
      </c>
      <c r="J5">
        <v>50</v>
      </c>
      <c r="K5">
        <v>101</v>
      </c>
      <c r="L5">
        <v>0</v>
      </c>
      <c r="M5">
        <v>6</v>
      </c>
      <c r="N5" t="s">
        <v>19</v>
      </c>
      <c r="O5" t="s">
        <v>75</v>
      </c>
    </row>
    <row r="6" spans="1:15" x14ac:dyDescent="0.3">
      <c r="A6">
        <v>43346700</v>
      </c>
      <c r="B6">
        <v>1</v>
      </c>
      <c r="C6">
        <v>101</v>
      </c>
      <c r="D6">
        <v>16</v>
      </c>
      <c r="E6">
        <v>7</v>
      </c>
      <c r="F6">
        <v>1</v>
      </c>
      <c r="G6">
        <v>0</v>
      </c>
      <c r="H6">
        <v>126</v>
      </c>
      <c r="I6" t="s">
        <v>76</v>
      </c>
      <c r="J6">
        <v>77</v>
      </c>
      <c r="K6">
        <v>126</v>
      </c>
      <c r="L6">
        <v>0</v>
      </c>
      <c r="M6">
        <v>16</v>
      </c>
      <c r="N6" t="s">
        <v>19</v>
      </c>
      <c r="O6" t="s">
        <v>77</v>
      </c>
    </row>
    <row r="7" spans="1:15" x14ac:dyDescent="0.3">
      <c r="A7">
        <v>43374604</v>
      </c>
      <c r="B7">
        <v>1</v>
      </c>
      <c r="C7">
        <v>61</v>
      </c>
      <c r="D7">
        <v>15</v>
      </c>
      <c r="E7">
        <v>3</v>
      </c>
      <c r="F7">
        <v>0</v>
      </c>
      <c r="G7">
        <v>0</v>
      </c>
      <c r="H7">
        <v>80</v>
      </c>
      <c r="I7" t="s">
        <v>78</v>
      </c>
      <c r="J7">
        <v>56</v>
      </c>
      <c r="K7">
        <v>80</v>
      </c>
      <c r="L7">
        <v>0</v>
      </c>
      <c r="M7">
        <v>8</v>
      </c>
      <c r="N7" t="s">
        <v>19</v>
      </c>
      <c r="O7" t="s">
        <v>79</v>
      </c>
    </row>
    <row r="8" spans="1:15" x14ac:dyDescent="0.3">
      <c r="A8">
        <v>43402439</v>
      </c>
      <c r="B8">
        <v>1</v>
      </c>
      <c r="C8">
        <v>96</v>
      </c>
      <c r="D8">
        <v>26</v>
      </c>
      <c r="E8">
        <v>6</v>
      </c>
      <c r="F8">
        <v>1</v>
      </c>
      <c r="G8">
        <v>0</v>
      </c>
      <c r="H8">
        <v>130</v>
      </c>
      <c r="I8" t="s">
        <v>80</v>
      </c>
      <c r="J8">
        <v>89</v>
      </c>
      <c r="K8">
        <v>130</v>
      </c>
      <c r="L8">
        <v>5</v>
      </c>
      <c r="M8">
        <v>4</v>
      </c>
      <c r="N8" t="s">
        <v>28</v>
      </c>
      <c r="O8" t="s">
        <v>81</v>
      </c>
    </row>
    <row r="9" spans="1:15" x14ac:dyDescent="0.3">
      <c r="A9">
        <v>43430885</v>
      </c>
      <c r="B9">
        <v>1</v>
      </c>
      <c r="C9">
        <v>75</v>
      </c>
      <c r="D9">
        <v>22</v>
      </c>
      <c r="E9">
        <v>7</v>
      </c>
      <c r="F9">
        <v>1</v>
      </c>
      <c r="G9">
        <v>0</v>
      </c>
      <c r="H9">
        <v>106</v>
      </c>
      <c r="I9" t="s">
        <v>82</v>
      </c>
      <c r="J9">
        <v>70</v>
      </c>
      <c r="K9">
        <v>106</v>
      </c>
      <c r="L9">
        <v>0</v>
      </c>
      <c r="M9">
        <v>6</v>
      </c>
      <c r="N9" t="s">
        <v>19</v>
      </c>
      <c r="O9" t="s">
        <v>83</v>
      </c>
    </row>
    <row r="10" spans="1:15" x14ac:dyDescent="0.3">
      <c r="A10">
        <v>43539274</v>
      </c>
      <c r="B10">
        <v>1</v>
      </c>
      <c r="C10">
        <v>110</v>
      </c>
      <c r="D10">
        <v>24</v>
      </c>
      <c r="E10">
        <v>4</v>
      </c>
      <c r="F10">
        <v>1</v>
      </c>
      <c r="G10">
        <v>0</v>
      </c>
      <c r="H10">
        <v>140</v>
      </c>
      <c r="I10" t="s">
        <v>84</v>
      </c>
      <c r="J10">
        <v>103</v>
      </c>
      <c r="K10">
        <v>140</v>
      </c>
      <c r="L10">
        <v>0</v>
      </c>
      <c r="M10">
        <v>11</v>
      </c>
      <c r="N10" t="s">
        <v>19</v>
      </c>
      <c r="O10" t="s">
        <v>85</v>
      </c>
    </row>
    <row r="11" spans="1:15" x14ac:dyDescent="0.3">
      <c r="A11">
        <v>43566043</v>
      </c>
      <c r="B11">
        <v>1</v>
      </c>
      <c r="C11">
        <v>107</v>
      </c>
      <c r="D11">
        <v>28</v>
      </c>
      <c r="E11">
        <v>3</v>
      </c>
      <c r="F11">
        <v>1</v>
      </c>
      <c r="G11">
        <v>0</v>
      </c>
      <c r="H11">
        <v>140</v>
      </c>
      <c r="I11" t="s">
        <v>86</v>
      </c>
      <c r="J11">
        <v>99</v>
      </c>
      <c r="K11">
        <v>140</v>
      </c>
      <c r="L11">
        <v>1</v>
      </c>
      <c r="M11">
        <v>11</v>
      </c>
      <c r="N11" t="s">
        <v>87</v>
      </c>
      <c r="O11" t="s">
        <v>85</v>
      </c>
    </row>
    <row r="12" spans="1:15" x14ac:dyDescent="0.3">
      <c r="A12">
        <v>43593087</v>
      </c>
      <c r="B12">
        <v>1</v>
      </c>
      <c r="C12">
        <v>97</v>
      </c>
      <c r="D12">
        <v>26</v>
      </c>
      <c r="E12">
        <v>0</v>
      </c>
      <c r="F12">
        <v>1</v>
      </c>
      <c r="G12">
        <v>0</v>
      </c>
      <c r="H12">
        <v>125</v>
      </c>
      <c r="I12" t="s">
        <v>88</v>
      </c>
      <c r="J12">
        <v>92</v>
      </c>
      <c r="K12">
        <v>125</v>
      </c>
      <c r="L12">
        <v>0</v>
      </c>
      <c r="M12">
        <v>8</v>
      </c>
      <c r="N12" t="s">
        <v>19</v>
      </c>
      <c r="O12" t="s">
        <v>89</v>
      </c>
    </row>
    <row r="13" spans="1:15" x14ac:dyDescent="0.3">
      <c r="A13">
        <v>43614456</v>
      </c>
      <c r="B13">
        <v>1</v>
      </c>
      <c r="C13">
        <v>68</v>
      </c>
      <c r="D13">
        <v>20</v>
      </c>
      <c r="E13">
        <v>2</v>
      </c>
      <c r="F13">
        <v>2</v>
      </c>
      <c r="G13">
        <v>1</v>
      </c>
      <c r="H13">
        <v>94</v>
      </c>
      <c r="I13" t="s">
        <v>90</v>
      </c>
      <c r="J13">
        <v>61</v>
      </c>
      <c r="K13">
        <v>94</v>
      </c>
      <c r="L13">
        <v>1</v>
      </c>
      <c r="M13">
        <v>12</v>
      </c>
      <c r="N13" t="s">
        <v>91</v>
      </c>
      <c r="O13" t="s">
        <v>92</v>
      </c>
    </row>
    <row r="14" spans="1:15" x14ac:dyDescent="0.3">
      <c r="A14">
        <v>43674483</v>
      </c>
      <c r="B14">
        <v>1</v>
      </c>
      <c r="C14">
        <v>84</v>
      </c>
      <c r="D14">
        <v>13</v>
      </c>
      <c r="E14">
        <v>3</v>
      </c>
      <c r="F14">
        <v>0</v>
      </c>
      <c r="G14">
        <v>0</v>
      </c>
      <c r="H14">
        <v>101</v>
      </c>
      <c r="I14" t="s">
        <v>93</v>
      </c>
      <c r="J14">
        <v>79</v>
      </c>
      <c r="K14">
        <v>101</v>
      </c>
      <c r="L14">
        <v>1</v>
      </c>
      <c r="M14">
        <v>6</v>
      </c>
      <c r="N14" t="s">
        <v>94</v>
      </c>
      <c r="O14" t="s">
        <v>75</v>
      </c>
    </row>
    <row r="15" spans="1:15" x14ac:dyDescent="0.3">
      <c r="A15">
        <v>43862968</v>
      </c>
      <c r="B15">
        <v>1</v>
      </c>
      <c r="C15">
        <v>117</v>
      </c>
      <c r="D15">
        <v>23</v>
      </c>
      <c r="E15">
        <v>1</v>
      </c>
      <c r="F15">
        <v>1</v>
      </c>
      <c r="G15">
        <v>1</v>
      </c>
      <c r="H15">
        <v>144</v>
      </c>
      <c r="I15" t="s">
        <v>95</v>
      </c>
      <c r="J15">
        <v>70</v>
      </c>
      <c r="K15">
        <v>144</v>
      </c>
      <c r="L15">
        <v>1</v>
      </c>
      <c r="M15">
        <v>10</v>
      </c>
      <c r="N15" t="s">
        <v>96</v>
      </c>
      <c r="O15" t="s">
        <v>97</v>
      </c>
    </row>
    <row r="16" spans="1:15" x14ac:dyDescent="0.3">
      <c r="A16">
        <v>43891958</v>
      </c>
      <c r="B16">
        <v>1</v>
      </c>
      <c r="C16">
        <v>87</v>
      </c>
      <c r="D16">
        <v>30</v>
      </c>
      <c r="E16">
        <v>3</v>
      </c>
      <c r="F16">
        <v>0</v>
      </c>
      <c r="G16">
        <v>0</v>
      </c>
      <c r="H16">
        <v>121</v>
      </c>
      <c r="I16" t="s">
        <v>98</v>
      </c>
      <c r="J16">
        <v>82</v>
      </c>
      <c r="K16">
        <v>121</v>
      </c>
      <c r="L16">
        <v>1</v>
      </c>
      <c r="M16">
        <v>4</v>
      </c>
      <c r="N16" t="s">
        <v>99</v>
      </c>
      <c r="O16" t="s">
        <v>100</v>
      </c>
    </row>
    <row r="17" spans="1:15" x14ac:dyDescent="0.3">
      <c r="A17">
        <v>43920615</v>
      </c>
      <c r="B17">
        <v>1</v>
      </c>
      <c r="C17">
        <v>96</v>
      </c>
      <c r="D17">
        <v>27</v>
      </c>
      <c r="E17">
        <v>1</v>
      </c>
      <c r="F17">
        <v>1</v>
      </c>
      <c r="G17">
        <v>0</v>
      </c>
      <c r="H17">
        <v>126</v>
      </c>
      <c r="I17" t="s">
        <v>101</v>
      </c>
      <c r="J17">
        <v>91</v>
      </c>
      <c r="K17">
        <v>126</v>
      </c>
      <c r="L17">
        <v>0</v>
      </c>
      <c r="M17">
        <v>8</v>
      </c>
      <c r="N17" t="s">
        <v>19</v>
      </c>
      <c r="O17" t="s">
        <v>102</v>
      </c>
    </row>
    <row r="18" spans="1:15" x14ac:dyDescent="0.3">
      <c r="A18">
        <v>43949404</v>
      </c>
      <c r="B18">
        <v>1</v>
      </c>
      <c r="C18">
        <v>79</v>
      </c>
      <c r="D18">
        <v>26</v>
      </c>
      <c r="E18">
        <v>3</v>
      </c>
      <c r="F18">
        <v>1</v>
      </c>
      <c r="G18">
        <v>0</v>
      </c>
      <c r="H18">
        <v>110</v>
      </c>
      <c r="I18" t="s">
        <v>103</v>
      </c>
      <c r="J18">
        <v>74</v>
      </c>
      <c r="K18">
        <v>110</v>
      </c>
      <c r="L18">
        <v>0</v>
      </c>
      <c r="M18">
        <v>5</v>
      </c>
      <c r="N18" t="s">
        <v>19</v>
      </c>
      <c r="O18" t="s">
        <v>104</v>
      </c>
    </row>
    <row r="19" spans="1:15" x14ac:dyDescent="0.3">
      <c r="A19">
        <v>43978801</v>
      </c>
      <c r="B19">
        <v>1</v>
      </c>
      <c r="C19">
        <v>65</v>
      </c>
      <c r="D19">
        <v>19</v>
      </c>
      <c r="E19">
        <v>1</v>
      </c>
      <c r="F19">
        <v>1</v>
      </c>
      <c r="G19">
        <v>0</v>
      </c>
      <c r="H19">
        <v>87</v>
      </c>
      <c r="I19" t="s">
        <v>105</v>
      </c>
      <c r="J19">
        <v>60</v>
      </c>
      <c r="K19">
        <v>87</v>
      </c>
      <c r="L19">
        <v>0</v>
      </c>
      <c r="M19">
        <v>12</v>
      </c>
      <c r="N19" t="s">
        <v>19</v>
      </c>
      <c r="O19" t="s">
        <v>106</v>
      </c>
    </row>
    <row r="20" spans="1:15" x14ac:dyDescent="0.3">
      <c r="A20">
        <v>44010401</v>
      </c>
      <c r="B20">
        <v>1</v>
      </c>
      <c r="C20">
        <v>62</v>
      </c>
      <c r="D20">
        <v>36</v>
      </c>
      <c r="E20">
        <v>2</v>
      </c>
      <c r="F20">
        <v>2</v>
      </c>
      <c r="G20">
        <v>0</v>
      </c>
      <c r="H20">
        <v>103</v>
      </c>
      <c r="I20" t="s">
        <v>107</v>
      </c>
      <c r="J20">
        <v>41</v>
      </c>
      <c r="K20">
        <v>103</v>
      </c>
      <c r="L20">
        <v>0</v>
      </c>
      <c r="M20">
        <v>5</v>
      </c>
      <c r="N20" t="s">
        <v>19</v>
      </c>
      <c r="O20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9527-41BF-4F40-B12E-62783B3C5FD2}">
  <dimension ref="A1:H52"/>
  <sheetViews>
    <sheetView tabSelected="1" workbookViewId="0">
      <selection activeCell="A2" sqref="A2"/>
    </sheetView>
  </sheetViews>
  <sheetFormatPr defaultRowHeight="14.4" x14ac:dyDescent="0.3"/>
  <cols>
    <col min="1" max="1" width="12.77734375" style="1" bestFit="1" customWidth="1"/>
    <col min="2" max="2" width="13.21875" style="1" bestFit="1" customWidth="1"/>
    <col min="3" max="3" width="15.109375" style="1" bestFit="1" customWidth="1"/>
    <col min="4" max="4" width="25.88671875" style="1" bestFit="1" customWidth="1"/>
    <col min="5" max="6" width="8.88671875" style="1"/>
    <col min="7" max="7" width="13.33203125" style="1" bestFit="1" customWidth="1"/>
    <col min="8" max="8" width="11.109375" style="1" bestFit="1" customWidth="1"/>
    <col min="9" max="16384" width="8.88671875" style="1"/>
  </cols>
  <sheetData>
    <row r="1" spans="1:8" x14ac:dyDescent="0.3">
      <c r="A1" t="s">
        <v>133</v>
      </c>
      <c r="B1" s="1" t="s">
        <v>109</v>
      </c>
      <c r="C1" s="1" t="s">
        <v>110</v>
      </c>
      <c r="D1" s="1" t="s">
        <v>111</v>
      </c>
    </row>
    <row r="2" spans="1:8" x14ac:dyDescent="0.3">
      <c r="A2">
        <v>8200826</v>
      </c>
      <c r="B2" s="1">
        <v>36425882</v>
      </c>
      <c r="C2" s="1" t="s">
        <v>112</v>
      </c>
      <c r="D2" s="1" t="s">
        <v>113</v>
      </c>
    </row>
    <row r="3" spans="1:8" x14ac:dyDescent="0.3">
      <c r="A3">
        <v>42406507</v>
      </c>
      <c r="B3" s="1">
        <v>2542992</v>
      </c>
      <c r="C3" s="1" t="s">
        <v>114</v>
      </c>
      <c r="D3" s="1" t="s">
        <v>115</v>
      </c>
    </row>
    <row r="4" spans="1:8" x14ac:dyDescent="0.3">
      <c r="A4">
        <v>42406507</v>
      </c>
      <c r="B4" s="1">
        <v>3158809</v>
      </c>
      <c r="C4" s="1" t="s">
        <v>114</v>
      </c>
      <c r="D4" s="1" t="s">
        <v>115</v>
      </c>
      <c r="F4" s="1" t="s">
        <v>116</v>
      </c>
      <c r="G4" s="1" t="s">
        <v>113</v>
      </c>
      <c r="H4" s="1" t="s">
        <v>115</v>
      </c>
    </row>
    <row r="5" spans="1:8" x14ac:dyDescent="0.3">
      <c r="A5">
        <v>42406507</v>
      </c>
      <c r="B5" s="1">
        <v>3281810</v>
      </c>
      <c r="C5" s="1" t="s">
        <v>114</v>
      </c>
      <c r="D5" s="1" t="s">
        <v>113</v>
      </c>
      <c r="F5" s="1">
        <f>COUNTA(D2:D52)</f>
        <v>51</v>
      </c>
      <c r="G5" s="1">
        <f>COUNTIF(D2:D52,G4)</f>
        <v>29</v>
      </c>
      <c r="H5" s="1">
        <f>COUNTIF(D2:D52,H4)</f>
        <v>22</v>
      </c>
    </row>
    <row r="6" spans="1:8" x14ac:dyDescent="0.3">
      <c r="A6">
        <v>42406507</v>
      </c>
      <c r="B6" s="1">
        <v>3415189</v>
      </c>
      <c r="C6" s="1" t="s">
        <v>114</v>
      </c>
      <c r="D6" s="1" t="s">
        <v>113</v>
      </c>
      <c r="G6" s="2">
        <f>G5/F5</f>
        <v>0.56862745098039214</v>
      </c>
      <c r="H6" s="2">
        <f>H5/F5</f>
        <v>0.43137254901960786</v>
      </c>
    </row>
    <row r="7" spans="1:8" x14ac:dyDescent="0.3">
      <c r="A7">
        <v>42406507</v>
      </c>
      <c r="B7" s="1">
        <v>3434386</v>
      </c>
      <c r="C7" s="1" t="s">
        <v>114</v>
      </c>
      <c r="D7" s="1" t="s">
        <v>113</v>
      </c>
    </row>
    <row r="8" spans="1:8" x14ac:dyDescent="0.3">
      <c r="A8">
        <v>42406507</v>
      </c>
      <c r="B8" s="1">
        <v>3531594</v>
      </c>
      <c r="C8" s="1" t="s">
        <v>114</v>
      </c>
      <c r="D8" s="1" t="s">
        <v>113</v>
      </c>
    </row>
    <row r="9" spans="1:8" x14ac:dyDescent="0.3">
      <c r="A9">
        <v>42406507</v>
      </c>
      <c r="B9" s="1">
        <v>3819032</v>
      </c>
      <c r="C9" s="1" t="s">
        <v>114</v>
      </c>
      <c r="D9" s="1" t="s">
        <v>113</v>
      </c>
    </row>
    <row r="10" spans="1:8" x14ac:dyDescent="0.3">
      <c r="A10">
        <v>42406507</v>
      </c>
      <c r="B10" s="1">
        <v>4167618</v>
      </c>
      <c r="C10" s="1" t="s">
        <v>114</v>
      </c>
      <c r="D10" s="1" t="s">
        <v>115</v>
      </c>
    </row>
    <row r="11" spans="1:8" x14ac:dyDescent="0.3">
      <c r="A11">
        <v>42406507</v>
      </c>
      <c r="B11" s="1">
        <v>4179701</v>
      </c>
      <c r="C11" s="1" t="s">
        <v>114</v>
      </c>
      <c r="D11" s="1" t="s">
        <v>113</v>
      </c>
    </row>
    <row r="12" spans="1:8" x14ac:dyDescent="0.3">
      <c r="A12">
        <v>42406507</v>
      </c>
      <c r="B12" s="1">
        <v>4188518</v>
      </c>
      <c r="C12" s="1" t="s">
        <v>114</v>
      </c>
      <c r="D12" s="1" t="s">
        <v>115</v>
      </c>
    </row>
    <row r="13" spans="1:8" x14ac:dyDescent="0.3">
      <c r="A13">
        <v>42406507</v>
      </c>
      <c r="B13" s="1">
        <v>4253659</v>
      </c>
      <c r="C13" s="1" t="s">
        <v>114</v>
      </c>
      <c r="D13" s="1" t="s">
        <v>115</v>
      </c>
    </row>
    <row r="14" spans="1:8" x14ac:dyDescent="0.3">
      <c r="A14">
        <v>42406507</v>
      </c>
      <c r="B14" s="1">
        <v>4276951</v>
      </c>
      <c r="C14" s="1" t="s">
        <v>114</v>
      </c>
      <c r="D14" s="1" t="s">
        <v>113</v>
      </c>
    </row>
    <row r="15" spans="1:8" x14ac:dyDescent="0.3">
      <c r="A15">
        <v>42406507</v>
      </c>
      <c r="B15" s="1">
        <v>4726514</v>
      </c>
      <c r="C15" s="1" t="s">
        <v>114</v>
      </c>
      <c r="D15" s="1" t="s">
        <v>113</v>
      </c>
    </row>
    <row r="16" spans="1:8" x14ac:dyDescent="0.3">
      <c r="A16">
        <v>42406507</v>
      </c>
      <c r="B16" s="1">
        <v>42011766</v>
      </c>
      <c r="C16" s="1" t="s">
        <v>112</v>
      </c>
      <c r="D16" s="1" t="s">
        <v>113</v>
      </c>
    </row>
    <row r="17" spans="1:4" x14ac:dyDescent="0.3">
      <c r="A17">
        <v>42406507</v>
      </c>
      <c r="B17" s="1">
        <v>42011817</v>
      </c>
      <c r="C17" s="1" t="s">
        <v>112</v>
      </c>
      <c r="D17" s="1" t="s">
        <v>113</v>
      </c>
    </row>
    <row r="18" spans="1:4" x14ac:dyDescent="0.3">
      <c r="A18">
        <v>42406507</v>
      </c>
      <c r="B18" s="1">
        <v>42012426</v>
      </c>
      <c r="C18" s="1" t="s">
        <v>112</v>
      </c>
      <c r="D18" s="1" t="s">
        <v>113</v>
      </c>
    </row>
    <row r="19" spans="1:4" x14ac:dyDescent="0.3">
      <c r="A19">
        <v>42406507</v>
      </c>
      <c r="B19" s="1">
        <v>42077631</v>
      </c>
      <c r="C19" s="1" t="s">
        <v>112</v>
      </c>
      <c r="D19" s="1" t="s">
        <v>113</v>
      </c>
    </row>
    <row r="20" spans="1:4" x14ac:dyDescent="0.3">
      <c r="A20">
        <v>42406507</v>
      </c>
      <c r="B20" s="1">
        <v>42426592</v>
      </c>
      <c r="C20" s="1" t="s">
        <v>112</v>
      </c>
      <c r="D20" s="1" t="s">
        <v>115</v>
      </c>
    </row>
    <row r="21" spans="1:4" x14ac:dyDescent="0.3">
      <c r="A21">
        <v>42406507</v>
      </c>
      <c r="B21" s="1">
        <v>42426641</v>
      </c>
      <c r="C21" s="1" t="s">
        <v>112</v>
      </c>
      <c r="D21" s="1" t="s">
        <v>115</v>
      </c>
    </row>
    <row r="22" spans="1:4" x14ac:dyDescent="0.3">
      <c r="A22">
        <v>42406507</v>
      </c>
      <c r="B22" s="1">
        <v>42758642</v>
      </c>
      <c r="C22" s="1" t="s">
        <v>112</v>
      </c>
      <c r="D22" s="1" t="s">
        <v>115</v>
      </c>
    </row>
    <row r="23" spans="1:4" x14ac:dyDescent="0.3">
      <c r="A23">
        <v>42406507</v>
      </c>
      <c r="B23" s="1">
        <v>42787717</v>
      </c>
      <c r="C23" s="1" t="s">
        <v>112</v>
      </c>
      <c r="D23" s="1" t="s">
        <v>115</v>
      </c>
    </row>
    <row r="24" spans="1:4" x14ac:dyDescent="0.3">
      <c r="A24">
        <v>42426592</v>
      </c>
      <c r="B24" s="1">
        <v>42406507</v>
      </c>
      <c r="C24" s="1" t="s">
        <v>112</v>
      </c>
      <c r="D24" s="1" t="s">
        <v>115</v>
      </c>
    </row>
    <row r="25" spans="1:4" x14ac:dyDescent="0.3">
      <c r="A25">
        <v>42426641</v>
      </c>
      <c r="B25" s="1">
        <v>42598944</v>
      </c>
      <c r="C25" s="1" t="s">
        <v>112</v>
      </c>
      <c r="D25" s="1" t="s">
        <v>115</v>
      </c>
    </row>
    <row r="26" spans="1:4" x14ac:dyDescent="0.3">
      <c r="A26">
        <v>42458992</v>
      </c>
      <c r="B26" s="1">
        <v>42459099</v>
      </c>
      <c r="C26" s="1" t="s">
        <v>112</v>
      </c>
      <c r="D26" s="1" t="s">
        <v>115</v>
      </c>
    </row>
    <row r="27" spans="1:4" x14ac:dyDescent="0.3">
      <c r="A27">
        <v>42458992</v>
      </c>
      <c r="B27" s="1">
        <v>42459206</v>
      </c>
      <c r="C27" s="1" t="s">
        <v>112</v>
      </c>
      <c r="D27" s="1" t="s">
        <v>115</v>
      </c>
    </row>
    <row r="28" spans="1:4" x14ac:dyDescent="0.3">
      <c r="A28">
        <v>42458992</v>
      </c>
      <c r="B28" s="1">
        <v>42459241</v>
      </c>
      <c r="C28" s="1" t="s">
        <v>112</v>
      </c>
      <c r="D28" s="1" t="s">
        <v>115</v>
      </c>
    </row>
    <row r="29" spans="1:4" x14ac:dyDescent="0.3">
      <c r="A29">
        <v>42458992</v>
      </c>
      <c r="B29" s="1">
        <v>42459298</v>
      </c>
      <c r="C29" s="1" t="s">
        <v>112</v>
      </c>
      <c r="D29" s="1" t="s">
        <v>113</v>
      </c>
    </row>
    <row r="30" spans="1:4" x14ac:dyDescent="0.3">
      <c r="A30">
        <v>42459041</v>
      </c>
      <c r="B30" s="1">
        <v>42458992</v>
      </c>
      <c r="C30" s="1" t="s">
        <v>112</v>
      </c>
      <c r="D30" s="1" t="s">
        <v>113</v>
      </c>
    </row>
    <row r="31" spans="1:4" x14ac:dyDescent="0.3">
      <c r="A31">
        <v>42459041</v>
      </c>
      <c r="B31" s="1">
        <v>42459148</v>
      </c>
      <c r="C31" s="1" t="s">
        <v>112</v>
      </c>
      <c r="D31" s="1" t="s">
        <v>115</v>
      </c>
    </row>
    <row r="32" spans="1:4" x14ac:dyDescent="0.3">
      <c r="A32">
        <v>42731028</v>
      </c>
      <c r="B32" s="1">
        <v>42705635</v>
      </c>
      <c r="C32" s="1" t="s">
        <v>112</v>
      </c>
      <c r="D32" s="1" t="s">
        <v>115</v>
      </c>
    </row>
    <row r="33" spans="1:4" x14ac:dyDescent="0.3">
      <c r="A33">
        <v>42997602</v>
      </c>
      <c r="B33" s="1">
        <v>43022302</v>
      </c>
      <c r="C33" s="1" t="s">
        <v>112</v>
      </c>
      <c r="D33" s="1" t="s">
        <v>113</v>
      </c>
    </row>
    <row r="34" spans="1:4" x14ac:dyDescent="0.3">
      <c r="A34">
        <v>42997602</v>
      </c>
      <c r="B34" s="1">
        <v>43022440</v>
      </c>
      <c r="C34" s="1" t="s">
        <v>112</v>
      </c>
      <c r="D34" s="1" t="s">
        <v>113</v>
      </c>
    </row>
    <row r="35" spans="1:4" x14ac:dyDescent="0.3">
      <c r="A35">
        <v>43346700</v>
      </c>
      <c r="B35" s="1">
        <v>43375656</v>
      </c>
      <c r="C35" s="1" t="s">
        <v>112</v>
      </c>
      <c r="D35" s="1" t="s">
        <v>113</v>
      </c>
    </row>
    <row r="36" spans="1:4" x14ac:dyDescent="0.3">
      <c r="A36">
        <v>8200826</v>
      </c>
      <c r="B36" s="1">
        <v>16372934</v>
      </c>
      <c r="C36" s="1" t="s">
        <v>112</v>
      </c>
      <c r="D36" s="1" t="s">
        <v>113</v>
      </c>
    </row>
    <row r="37" spans="1:4" x14ac:dyDescent="0.3">
      <c r="A37">
        <v>42406507</v>
      </c>
      <c r="B37" s="1">
        <v>3463245</v>
      </c>
      <c r="C37" s="1" t="s">
        <v>114</v>
      </c>
      <c r="D37" s="1" t="s">
        <v>113</v>
      </c>
    </row>
    <row r="38" spans="1:4" x14ac:dyDescent="0.3">
      <c r="A38">
        <v>42406507</v>
      </c>
      <c r="B38" s="1">
        <v>3711577</v>
      </c>
      <c r="C38" s="1" t="s">
        <v>114</v>
      </c>
      <c r="D38" s="1" t="s">
        <v>113</v>
      </c>
    </row>
    <row r="39" spans="1:4" x14ac:dyDescent="0.3">
      <c r="A39">
        <v>42406507</v>
      </c>
      <c r="B39" s="1">
        <v>3728922</v>
      </c>
      <c r="C39" s="1" t="s">
        <v>114</v>
      </c>
      <c r="D39" s="1" t="s">
        <v>113</v>
      </c>
    </row>
    <row r="40" spans="1:4" x14ac:dyDescent="0.3">
      <c r="A40">
        <v>42406507</v>
      </c>
      <c r="B40" s="1">
        <v>3754003</v>
      </c>
      <c r="C40" s="1" t="s">
        <v>114</v>
      </c>
      <c r="D40" s="1" t="s">
        <v>113</v>
      </c>
    </row>
    <row r="41" spans="1:4" x14ac:dyDescent="0.3">
      <c r="A41">
        <v>42406507</v>
      </c>
      <c r="B41" s="1">
        <v>4239307</v>
      </c>
      <c r="C41" s="1" t="s">
        <v>114</v>
      </c>
      <c r="D41" s="1" t="s">
        <v>115</v>
      </c>
    </row>
    <row r="42" spans="1:4" x14ac:dyDescent="0.3">
      <c r="A42">
        <v>42406507</v>
      </c>
      <c r="B42" s="1">
        <v>31956677</v>
      </c>
      <c r="C42" s="1" t="s">
        <v>112</v>
      </c>
      <c r="D42" s="1" t="s">
        <v>113</v>
      </c>
    </row>
    <row r="43" spans="1:4" x14ac:dyDescent="0.3">
      <c r="A43">
        <v>42406507</v>
      </c>
      <c r="B43" s="1">
        <v>42010347</v>
      </c>
      <c r="C43" s="1" t="s">
        <v>112</v>
      </c>
      <c r="D43" s="1" t="s">
        <v>113</v>
      </c>
    </row>
    <row r="44" spans="1:4" x14ac:dyDescent="0.3">
      <c r="A44">
        <v>42406507</v>
      </c>
      <c r="B44" s="1">
        <v>42012522</v>
      </c>
      <c r="C44" s="1" t="s">
        <v>112</v>
      </c>
      <c r="D44" s="1" t="s">
        <v>113</v>
      </c>
    </row>
    <row r="45" spans="1:4" x14ac:dyDescent="0.3">
      <c r="A45">
        <v>42406507</v>
      </c>
      <c r="B45" s="1">
        <v>42079879</v>
      </c>
      <c r="C45" s="1" t="s">
        <v>112</v>
      </c>
      <c r="D45" s="1" t="s">
        <v>113</v>
      </c>
    </row>
    <row r="46" spans="1:4" x14ac:dyDescent="0.3">
      <c r="A46">
        <v>42406507</v>
      </c>
      <c r="B46" s="1">
        <v>42814075</v>
      </c>
      <c r="C46" s="1" t="s">
        <v>112</v>
      </c>
      <c r="D46" s="1" t="s">
        <v>115</v>
      </c>
    </row>
    <row r="47" spans="1:4" x14ac:dyDescent="0.3">
      <c r="A47">
        <v>42406507</v>
      </c>
      <c r="B47" s="1">
        <v>43110281</v>
      </c>
      <c r="C47" s="1" t="s">
        <v>112</v>
      </c>
      <c r="D47" s="1" t="s">
        <v>113</v>
      </c>
    </row>
    <row r="48" spans="1:4" x14ac:dyDescent="0.3">
      <c r="A48">
        <v>42458992</v>
      </c>
      <c r="B48" s="1">
        <v>42459041</v>
      </c>
      <c r="C48" s="1" t="s">
        <v>112</v>
      </c>
      <c r="D48" s="1" t="s">
        <v>115</v>
      </c>
    </row>
    <row r="49" spans="1:4" x14ac:dyDescent="0.3">
      <c r="A49">
        <v>42463024</v>
      </c>
      <c r="B49" s="1">
        <v>42463063</v>
      </c>
      <c r="C49" s="1" t="s">
        <v>112</v>
      </c>
      <c r="D49" s="1" t="s">
        <v>115</v>
      </c>
    </row>
    <row r="50" spans="1:4" x14ac:dyDescent="0.3">
      <c r="A50">
        <v>42463063</v>
      </c>
      <c r="B50" s="1">
        <v>42463024</v>
      </c>
      <c r="C50" s="1" t="s">
        <v>112</v>
      </c>
      <c r="D50" s="1" t="s">
        <v>115</v>
      </c>
    </row>
    <row r="51" spans="1:4" x14ac:dyDescent="0.3">
      <c r="A51">
        <v>42705635</v>
      </c>
      <c r="B51" s="1">
        <v>42731028</v>
      </c>
      <c r="C51" s="1" t="s">
        <v>112</v>
      </c>
      <c r="D51" s="1" t="s">
        <v>115</v>
      </c>
    </row>
    <row r="52" spans="1:4" x14ac:dyDescent="0.3">
      <c r="A52">
        <v>43593087</v>
      </c>
      <c r="B52" s="1">
        <v>43613297</v>
      </c>
      <c r="C52" s="1" t="s">
        <v>112</v>
      </c>
      <c r="D52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user-summary (July_Aug2026)</vt:lpstr>
      <vt:lpstr>account_info</vt:lpstr>
      <vt:lpstr>user-summary(July2026)</vt:lpstr>
      <vt:lpstr>user-summary(Aug2026)</vt:lpstr>
      <vt:lpstr>linkage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wei.kc</dc:creator>
  <cp:lastModifiedBy>Wei Kc</cp:lastModifiedBy>
  <dcterms:created xsi:type="dcterms:W3CDTF">2015-06-05T18:17:20Z</dcterms:created>
  <dcterms:modified xsi:type="dcterms:W3CDTF">2026-09-29T05:22:46Z</dcterms:modified>
</cp:coreProperties>
</file>